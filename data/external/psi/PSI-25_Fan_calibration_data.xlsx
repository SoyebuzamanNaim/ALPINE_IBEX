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BASS-II data for informatics\spreadsheets\"/>
    </mc:Choice>
  </mc:AlternateContent>
  <bookViews>
    <workbookView xWindow="0" yWindow="0" windowWidth="20640" windowHeight="9552"/>
  </bookViews>
  <sheets>
    <sheet name="Fan Calibration data" sheetId="2" r:id="rId1"/>
  </sheets>
  <externalReferences>
    <externalReference r:id="rId2"/>
  </externalReferenc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1" i="2" l="1"/>
  <c r="D31" i="2"/>
  <c r="D30" i="2"/>
  <c r="E29" i="2"/>
  <c r="D29" i="2"/>
  <c r="E28" i="2"/>
  <c r="D28" i="2"/>
  <c r="E27" i="2"/>
  <c r="D27" i="2"/>
  <c r="E26" i="2"/>
  <c r="D26" i="2"/>
  <c r="E25" i="2"/>
  <c r="D25" i="2"/>
  <c r="E21" i="2"/>
  <c r="D21" i="2"/>
  <c r="E20" i="2"/>
  <c r="D20" i="2"/>
  <c r="E19" i="2"/>
  <c r="D19" i="2"/>
  <c r="E18" i="2"/>
  <c r="D18" i="2"/>
  <c r="E17" i="2"/>
  <c r="D17" i="2"/>
  <c r="E16" i="2"/>
  <c r="D16" i="2"/>
  <c r="E13" i="2"/>
  <c r="D13" i="2"/>
  <c r="D12" i="2"/>
  <c r="E11" i="2"/>
  <c r="D11" i="2"/>
  <c r="E10" i="2"/>
  <c r="D10" i="2"/>
  <c r="E9" i="2"/>
  <c r="D9" i="2"/>
  <c r="E8" i="2"/>
  <c r="D8" i="2"/>
  <c r="E7" i="2"/>
  <c r="D7" i="2"/>
</calcChain>
</file>

<file path=xl/sharedStrings.xml><?xml version="1.0" encoding="utf-8"?>
<sst xmlns="http://schemas.openxmlformats.org/spreadsheetml/2006/main" count="314" uniqueCount="50">
  <si>
    <t>Fan Calibration data</t>
  </si>
  <si>
    <t>DATE</t>
  </si>
  <si>
    <t>GMT</t>
  </si>
  <si>
    <t>no restrictor</t>
  </si>
  <si>
    <t>decr pot</t>
  </si>
  <si>
    <t>test section</t>
  </si>
  <si>
    <t>Pot</t>
  </si>
  <si>
    <t>Fan Display</t>
  </si>
  <si>
    <t>Air Display</t>
  </si>
  <si>
    <t>Fan V</t>
  </si>
  <si>
    <t>U cm/s*</t>
  </si>
  <si>
    <t>decr</t>
  </si>
  <si>
    <t>1 restrictor</t>
  </si>
  <si>
    <t>Air</t>
  </si>
  <si>
    <t>2 resrictor</t>
  </si>
  <si>
    <t>*U =1.0066(AIR)</t>
  </si>
  <si>
    <t>Based on SPICE fan calibration data at 56 mm downstream, 36 mm from bottom (centerline)</t>
  </si>
  <si>
    <t>2014-043</t>
  </si>
  <si>
    <t>example of how to estimate flow</t>
  </si>
  <si>
    <t>This column is an</t>
  </si>
  <si>
    <t>2014-45</t>
  </si>
  <si>
    <t>2014-100</t>
  </si>
  <si>
    <t>2014-174</t>
  </si>
  <si>
    <t>2014-175</t>
  </si>
  <si>
    <t>2014-177</t>
  </si>
  <si>
    <t>2014-178</t>
  </si>
  <si>
    <t>2014-183</t>
  </si>
  <si>
    <t>2014-184</t>
  </si>
  <si>
    <t>2014-188-end</t>
  </si>
  <si>
    <t>2014-188-post soot cleaning</t>
  </si>
  <si>
    <t>2014-49 - post soot cleaning</t>
  </si>
  <si>
    <t>2014-50- post soot cleaning</t>
  </si>
  <si>
    <t xml:space="preserve">2014-091 - door repair </t>
  </si>
  <si>
    <t>2014-189</t>
  </si>
  <si>
    <t>2014-190</t>
  </si>
  <si>
    <t>2014-192</t>
  </si>
  <si>
    <t>2014-195</t>
  </si>
  <si>
    <t>2014-196</t>
  </si>
  <si>
    <t>2014-202</t>
  </si>
  <si>
    <t>2014-203</t>
  </si>
  <si>
    <t>2014-209</t>
  </si>
  <si>
    <t>2014-210</t>
  </si>
  <si>
    <t>7/31/2014 a.m.</t>
  </si>
  <si>
    <t>2014-212</t>
  </si>
  <si>
    <t>2014-212- post soot cleaning</t>
  </si>
  <si>
    <t>7/31/2014 p.m.</t>
  </si>
  <si>
    <t>2014-213</t>
  </si>
  <si>
    <t>Max air reading only after ops, 27.5</t>
  </si>
  <si>
    <t>2014-216</t>
  </si>
  <si>
    <r>
      <t xml:space="preserve">Note:  Data is organized by number of </t>
    </r>
    <r>
      <rPr>
        <b/>
        <sz val="11"/>
        <color rgb="FFFF0000"/>
        <rFont val="Calibri"/>
        <family val="2"/>
        <scheme val="minor"/>
      </rPr>
      <t>restrictors</t>
    </r>
    <r>
      <rPr>
        <sz val="11"/>
        <color theme="1"/>
        <rFont val="Calibri"/>
        <family val="2"/>
        <scheme val="minor"/>
      </rPr>
      <t xml:space="preserve"> used.  Not all restrictors were comonly used, so often the fan calibration only includes the restrictors of interest for that day. Some days we ran out of time before the fan cal could be complete.   There are additional flow values that were used during testing when the fan is on at a fixed voltage for at least a few minutes.   Note that the fan turns off at a finite voltage (above 3.8 volts), so it is recommended to not use the 3.8 volts zero flow value.</t>
    </r>
  </si>
</sst>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1"/>
      <color rgb="FFFF0000"/>
      <name val="Calibri"/>
      <family val="2"/>
      <scheme val="minor"/>
    </font>
    <font>
      <b/>
      <sz val="16"/>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9">
    <xf numFmtId="0" fontId="0" fillId="0" borderId="0" xfId="0"/>
    <xf numFmtId="0" fontId="0" fillId="0" borderId="1" xfId="0" applyBorder="1" applyAlignment="1">
      <alignment horizontal="center"/>
    </xf>
    <xf numFmtId="14" fontId="1" fillId="0" borderId="0" xfId="0" applyNumberFormat="1" applyFont="1"/>
    <xf numFmtId="0" fontId="1" fillId="2" borderId="3" xfId="0" applyFont="1" applyFill="1" applyBorder="1"/>
    <xf numFmtId="0" fontId="1" fillId="0" borderId="0" xfId="0" applyFont="1"/>
    <xf numFmtId="0" fontId="0" fillId="0" borderId="1" xfId="0" applyBorder="1"/>
    <xf numFmtId="0" fontId="0" fillId="2" borderId="1" xfId="0" applyFill="1" applyBorder="1"/>
    <xf numFmtId="0" fontId="0" fillId="0" borderId="0" xfId="0" applyBorder="1"/>
    <xf numFmtId="0" fontId="0" fillId="0" borderId="4" xfId="0" applyBorder="1"/>
    <xf numFmtId="14" fontId="1" fillId="2" borderId="2" xfId="0" applyNumberFormat="1" applyFont="1" applyFill="1" applyBorder="1"/>
    <xf numFmtId="0" fontId="1" fillId="0" borderId="0" xfId="0" applyFont="1" applyBorder="1"/>
    <xf numFmtId="0" fontId="0" fillId="0" borderId="0" xfId="0" applyFont="1" applyBorder="1"/>
    <xf numFmtId="0" fontId="0" fillId="0" borderId="5" xfId="0" applyBorder="1"/>
    <xf numFmtId="0" fontId="0" fillId="0" borderId="6" xfId="0" applyBorder="1"/>
    <xf numFmtId="0" fontId="0" fillId="3" borderId="7" xfId="0" applyFill="1" applyBorder="1"/>
    <xf numFmtId="14" fontId="1" fillId="0" borderId="8" xfId="0" applyNumberFormat="1" applyFont="1" applyBorder="1"/>
    <xf numFmtId="0" fontId="0" fillId="3" borderId="9" xfId="0" applyFill="1" applyBorder="1"/>
    <xf numFmtId="0" fontId="0" fillId="0" borderId="8" xfId="0" applyBorder="1"/>
    <xf numFmtId="0" fontId="1" fillId="0" borderId="8" xfId="0" applyFont="1" applyBorder="1"/>
    <xf numFmtId="0" fontId="1" fillId="3" borderId="9" xfId="0" applyFont="1" applyFill="1" applyBorder="1"/>
    <xf numFmtId="0" fontId="0" fillId="0" borderId="10" xfId="0" applyBorder="1"/>
    <xf numFmtId="0" fontId="0" fillId="3" borderId="11" xfId="0" applyFill="1" applyBorder="1"/>
    <xf numFmtId="0" fontId="0" fillId="0" borderId="12" xfId="0" applyBorder="1"/>
    <xf numFmtId="0" fontId="0" fillId="2" borderId="13" xfId="0" applyFill="1" applyBorder="1"/>
    <xf numFmtId="0" fontId="0" fillId="0" borderId="13" xfId="0" applyBorder="1"/>
    <xf numFmtId="0" fontId="0" fillId="3" borderId="14" xfId="0" applyFill="1" applyBorder="1"/>
    <xf numFmtId="0" fontId="2" fillId="0" borderId="0" xfId="0" applyFont="1" applyBorder="1"/>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SS-II%20Olson%20analysis/BASS-II%20Fan%20Cal%20%20All%20days%20with%20flow%20estim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n Cal GMT 216"/>
      <sheetName val="Fan Cal GMT 213"/>
      <sheetName val="Fan Cal GMT 212 pm"/>
      <sheetName val="Fan Cal GMT 212 am"/>
      <sheetName val="Fan Cal GMT 210"/>
      <sheetName val="Fan Cal GMT 209 "/>
      <sheetName val="Fan Cal GMT 203"/>
      <sheetName val="Fan Cal GMT 202"/>
      <sheetName val="Fan Cal GMT 196"/>
      <sheetName val="Fan Cal GMT 195"/>
      <sheetName val="Fan Cal GMT 192"/>
      <sheetName val="Fan Cal GMT 190"/>
      <sheetName val="Fan Cal GMT 189"/>
      <sheetName val="Fan Cal GMT 188 end of day"/>
      <sheetName val="Fan Cal GMT 188 post soot clean"/>
      <sheetName val="Fan Cal GMT 184"/>
      <sheetName val="Fan Cal GMT 183"/>
      <sheetName val="Fan Cal GMT 178"/>
      <sheetName val="Fan Cal GMT 177"/>
      <sheetName val="Fan Cal GMT 175"/>
      <sheetName val="Fan Cal GMT 174"/>
      <sheetName val="Fan Cal GMT 164 and 167"/>
      <sheetName val="Fan Cal GMT 100"/>
      <sheetName val="Settings for Desired flow"/>
      <sheetName val="Fan Cal GMT 91 Door Repair "/>
      <sheetName val="Fan Cal GMT 50 Soot cleaning"/>
      <sheetName val="Fan Cal GMT 049 Soot cleaning"/>
      <sheetName val="Fan Cal GMT 045"/>
      <sheetName val="Hardware Setup GMT 043"/>
      <sheetName val="GN2 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5">
          <cell r="A5">
            <v>0</v>
          </cell>
          <cell r="C5">
            <v>0</v>
          </cell>
        </row>
        <row r="6">
          <cell r="A6">
            <v>1</v>
          </cell>
        </row>
        <row r="7">
          <cell r="A7">
            <v>2</v>
          </cell>
        </row>
        <row r="8">
          <cell r="A8">
            <v>3</v>
          </cell>
        </row>
        <row r="9">
          <cell r="A9">
            <v>4</v>
          </cell>
        </row>
        <row r="10">
          <cell r="A10">
            <v>5</v>
          </cell>
        </row>
        <row r="11">
          <cell r="A11">
            <v>6</v>
          </cell>
        </row>
        <row r="12">
          <cell r="A12">
            <v>7</v>
          </cell>
        </row>
        <row r="13">
          <cell r="A13">
            <v>8</v>
          </cell>
        </row>
        <row r="14">
          <cell r="A14">
            <v>9</v>
          </cell>
        </row>
        <row r="15">
          <cell r="A15">
            <v>10</v>
          </cell>
          <cell r="C15">
            <v>495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E35"/>
  <sheetViews>
    <sheetView tabSelected="1" zoomScale="90" zoomScaleNormal="90" workbookViewId="0">
      <selection activeCell="CT13" sqref="CT13"/>
    </sheetView>
  </sheetViews>
  <sheetFormatPr defaultRowHeight="14.4" x14ac:dyDescent="0.3"/>
  <cols>
    <col min="2" max="2" width="10.109375" customWidth="1"/>
    <col min="5" max="5" width="28.33203125" customWidth="1"/>
    <col min="8" max="8" width="11" customWidth="1"/>
    <col min="10" max="10" width="10.5546875" customWidth="1"/>
    <col min="12" max="12" width="11.44140625" customWidth="1"/>
    <col min="14" max="14" width="10.6640625" customWidth="1"/>
    <col min="16" max="16" width="10.44140625" customWidth="1"/>
    <col min="20" max="20" width="10.109375" customWidth="1"/>
    <col min="24" max="24" width="10.77734375" customWidth="1"/>
    <col min="28" max="28" width="11.5546875" customWidth="1"/>
    <col min="32" max="32" width="10.5546875" bestFit="1" customWidth="1"/>
    <col min="36" max="36" width="10.5546875" bestFit="1" customWidth="1"/>
    <col min="40" max="40" width="10.5546875" bestFit="1" customWidth="1"/>
    <col min="44" max="44" width="11" customWidth="1"/>
    <col min="48" max="48" width="11.33203125" customWidth="1"/>
    <col min="52" max="52" width="11.88671875" customWidth="1"/>
    <col min="56" max="56" width="11.88671875" customWidth="1"/>
    <col min="60" max="60" width="10.77734375" customWidth="1"/>
    <col min="64" max="64" width="10.77734375" customWidth="1"/>
    <col min="68" max="68" width="10.5546875" bestFit="1" customWidth="1"/>
    <col min="72" max="72" width="10.5546875" bestFit="1" customWidth="1"/>
    <col min="76" max="76" width="10.5546875" bestFit="1" customWidth="1"/>
    <col min="80" max="80" width="10.5546875" bestFit="1" customWidth="1"/>
    <col min="84" max="84" width="10.5546875" bestFit="1" customWidth="1"/>
    <col min="88" max="88" width="10.5546875" bestFit="1" customWidth="1"/>
    <col min="92" max="92" width="10.5546875" bestFit="1" customWidth="1"/>
    <col min="104" max="104" width="10.77734375" customWidth="1"/>
    <col min="108" max="108" width="11.21875" customWidth="1"/>
  </cols>
  <sheetData>
    <row r="1" spans="1:109" ht="49.2" customHeight="1" thickBot="1" x14ac:dyDescent="0.45">
      <c r="A1" s="28" t="s">
        <v>0</v>
      </c>
      <c r="D1" s="27" t="s">
        <v>49</v>
      </c>
      <c r="E1" s="27"/>
      <c r="F1" s="27"/>
      <c r="G1" s="27"/>
      <c r="H1" s="27"/>
      <c r="I1" s="27"/>
      <c r="J1" s="27"/>
      <c r="K1" s="27"/>
      <c r="L1" s="27"/>
      <c r="M1" s="27"/>
      <c r="N1" s="27"/>
      <c r="O1" s="27"/>
      <c r="P1" s="27"/>
    </row>
    <row r="2" spans="1:109" ht="15" thickBot="1" x14ac:dyDescent="0.35">
      <c r="A2" s="12"/>
      <c r="B2" s="13"/>
      <c r="C2" s="13"/>
      <c r="D2" s="13"/>
      <c r="E2" s="14" t="s">
        <v>19</v>
      </c>
    </row>
    <row r="3" spans="1:109" x14ac:dyDescent="0.3">
      <c r="A3" s="15" t="s">
        <v>1</v>
      </c>
      <c r="B3" s="9">
        <v>41730</v>
      </c>
      <c r="C3" s="7"/>
      <c r="D3" s="7"/>
      <c r="E3" s="16" t="s">
        <v>18</v>
      </c>
      <c r="G3" s="2" t="s">
        <v>1</v>
      </c>
      <c r="H3" s="9">
        <v>41684</v>
      </c>
      <c r="K3" s="2" t="s">
        <v>1</v>
      </c>
      <c r="L3" s="9">
        <v>41688</v>
      </c>
      <c r="O3" s="2" t="s">
        <v>1</v>
      </c>
      <c r="P3" s="9">
        <v>41689</v>
      </c>
      <c r="S3" s="2" t="s">
        <v>1</v>
      </c>
      <c r="T3" s="9">
        <v>41730</v>
      </c>
      <c r="W3" s="2" t="s">
        <v>1</v>
      </c>
      <c r="X3" s="9">
        <v>41739</v>
      </c>
      <c r="AA3" s="2" t="s">
        <v>1</v>
      </c>
      <c r="AB3" s="9">
        <v>41813</v>
      </c>
      <c r="AE3" s="2" t="s">
        <v>1</v>
      </c>
      <c r="AF3" s="9">
        <v>41814</v>
      </c>
      <c r="AI3" s="2" t="s">
        <v>1</v>
      </c>
      <c r="AJ3" s="9">
        <v>41816</v>
      </c>
      <c r="AM3" s="2" t="s">
        <v>1</v>
      </c>
      <c r="AN3" s="9">
        <v>41817</v>
      </c>
      <c r="AQ3" s="2" t="s">
        <v>1</v>
      </c>
      <c r="AR3" s="9">
        <v>41822</v>
      </c>
      <c r="AU3" s="2" t="s">
        <v>1</v>
      </c>
      <c r="AV3" s="9">
        <v>41823</v>
      </c>
      <c r="AY3" s="2" t="s">
        <v>1</v>
      </c>
      <c r="AZ3" s="9">
        <v>41827</v>
      </c>
      <c r="BC3" s="2" t="s">
        <v>1</v>
      </c>
      <c r="BD3" s="9">
        <v>41827</v>
      </c>
      <c r="BG3" s="2" t="s">
        <v>1</v>
      </c>
      <c r="BH3" s="9">
        <v>41828</v>
      </c>
      <c r="BK3" s="2" t="s">
        <v>1</v>
      </c>
      <c r="BL3" s="9">
        <v>41829</v>
      </c>
      <c r="BO3" s="2" t="s">
        <v>1</v>
      </c>
      <c r="BP3" s="9">
        <v>41831</v>
      </c>
      <c r="BS3" s="2" t="s">
        <v>1</v>
      </c>
      <c r="BT3" s="9">
        <v>41834</v>
      </c>
      <c r="BW3" s="2" t="s">
        <v>1</v>
      </c>
      <c r="BX3" s="9">
        <v>41835</v>
      </c>
      <c r="CA3" s="2" t="s">
        <v>1</v>
      </c>
      <c r="CB3" s="9">
        <v>41841</v>
      </c>
      <c r="CE3" s="2" t="s">
        <v>1</v>
      </c>
      <c r="CF3" s="9">
        <v>41842</v>
      </c>
      <c r="CI3" s="2" t="s">
        <v>1</v>
      </c>
      <c r="CJ3" s="9">
        <v>41848</v>
      </c>
      <c r="CM3" s="2" t="s">
        <v>1</v>
      </c>
      <c r="CN3" s="9">
        <v>41849</v>
      </c>
      <c r="CQ3" s="2" t="s">
        <v>1</v>
      </c>
      <c r="CR3" s="9" t="s">
        <v>42</v>
      </c>
      <c r="CU3" s="2" t="s">
        <v>1</v>
      </c>
      <c r="CV3" s="9" t="s">
        <v>45</v>
      </c>
      <c r="CY3" s="2" t="s">
        <v>1</v>
      </c>
      <c r="CZ3" s="9">
        <v>41852</v>
      </c>
      <c r="DC3" s="2" t="s">
        <v>1</v>
      </c>
      <c r="DD3" s="9">
        <v>41855</v>
      </c>
      <c r="DE3" s="4" t="s">
        <v>47</v>
      </c>
    </row>
    <row r="4" spans="1:109" ht="15" thickBot="1" x14ac:dyDescent="0.35">
      <c r="A4" s="17" t="s">
        <v>2</v>
      </c>
      <c r="B4" s="3" t="s">
        <v>17</v>
      </c>
      <c r="C4" s="7"/>
      <c r="D4" s="26" t="s">
        <v>3</v>
      </c>
      <c r="E4" s="16"/>
      <c r="G4" t="s">
        <v>2</v>
      </c>
      <c r="H4" s="3" t="s">
        <v>20</v>
      </c>
      <c r="K4" t="s">
        <v>2</v>
      </c>
      <c r="L4" s="3" t="s">
        <v>30</v>
      </c>
      <c r="O4" t="s">
        <v>2</v>
      </c>
      <c r="P4" s="3" t="s">
        <v>31</v>
      </c>
      <c r="S4" t="s">
        <v>2</v>
      </c>
      <c r="T4" s="3" t="s">
        <v>32</v>
      </c>
      <c r="W4" t="s">
        <v>2</v>
      </c>
      <c r="X4" s="3" t="s">
        <v>21</v>
      </c>
      <c r="AA4" t="s">
        <v>2</v>
      </c>
      <c r="AB4" s="3" t="s">
        <v>22</v>
      </c>
      <c r="AE4" t="s">
        <v>2</v>
      </c>
      <c r="AF4" s="3" t="s">
        <v>23</v>
      </c>
      <c r="AI4" t="s">
        <v>2</v>
      </c>
      <c r="AJ4" s="3" t="s">
        <v>24</v>
      </c>
      <c r="AM4" t="s">
        <v>2</v>
      </c>
      <c r="AN4" s="3" t="s">
        <v>25</v>
      </c>
      <c r="AQ4" t="s">
        <v>2</v>
      </c>
      <c r="AR4" s="3" t="s">
        <v>26</v>
      </c>
      <c r="AU4" t="s">
        <v>2</v>
      </c>
      <c r="AV4" s="3" t="s">
        <v>27</v>
      </c>
      <c r="AY4" t="s">
        <v>2</v>
      </c>
      <c r="AZ4" s="3" t="s">
        <v>29</v>
      </c>
      <c r="BC4" t="s">
        <v>2</v>
      </c>
      <c r="BD4" s="3" t="s">
        <v>28</v>
      </c>
      <c r="BG4" t="s">
        <v>2</v>
      </c>
      <c r="BH4" s="3" t="s">
        <v>33</v>
      </c>
      <c r="BK4" t="s">
        <v>2</v>
      </c>
      <c r="BL4" s="3" t="s">
        <v>34</v>
      </c>
      <c r="BO4" t="s">
        <v>2</v>
      </c>
      <c r="BP4" s="3" t="s">
        <v>35</v>
      </c>
      <c r="BS4" t="s">
        <v>2</v>
      </c>
      <c r="BT4" s="3" t="s">
        <v>36</v>
      </c>
      <c r="BW4" t="s">
        <v>2</v>
      </c>
      <c r="BX4" s="3" t="s">
        <v>37</v>
      </c>
      <c r="CA4" t="s">
        <v>2</v>
      </c>
      <c r="CB4" s="3" t="s">
        <v>38</v>
      </c>
      <c r="CE4" t="s">
        <v>2</v>
      </c>
      <c r="CF4" s="3" t="s">
        <v>39</v>
      </c>
      <c r="CI4" t="s">
        <v>2</v>
      </c>
      <c r="CJ4" s="3" t="s">
        <v>40</v>
      </c>
      <c r="CM4" t="s">
        <v>2</v>
      </c>
      <c r="CN4" s="3" t="s">
        <v>41</v>
      </c>
      <c r="CQ4" t="s">
        <v>2</v>
      </c>
      <c r="CR4" s="3" t="s">
        <v>44</v>
      </c>
      <c r="CU4" t="s">
        <v>2</v>
      </c>
      <c r="CV4" s="3" t="s">
        <v>43</v>
      </c>
      <c r="CY4" t="s">
        <v>2</v>
      </c>
      <c r="CZ4" s="3" t="s">
        <v>46</v>
      </c>
      <c r="DC4" t="s">
        <v>2</v>
      </c>
      <c r="DD4" s="3" t="s">
        <v>48</v>
      </c>
    </row>
    <row r="5" spans="1:109" x14ac:dyDescent="0.3">
      <c r="A5" s="18"/>
      <c r="B5" s="7"/>
      <c r="C5" s="7" t="s">
        <v>4</v>
      </c>
      <c r="D5" s="7"/>
      <c r="E5" s="19" t="s">
        <v>5</v>
      </c>
      <c r="G5" s="4"/>
      <c r="I5" t="s">
        <v>4</v>
      </c>
      <c r="K5" s="4"/>
      <c r="M5" t="s">
        <v>4</v>
      </c>
      <c r="O5" s="4"/>
      <c r="Q5" t="s">
        <v>4</v>
      </c>
      <c r="S5" s="4"/>
      <c r="U5" t="s">
        <v>4</v>
      </c>
      <c r="W5" s="4"/>
      <c r="Y5" t="s">
        <v>4</v>
      </c>
      <c r="AA5" s="4"/>
      <c r="AC5" t="s">
        <v>4</v>
      </c>
      <c r="AE5" s="4"/>
      <c r="AG5" t="s">
        <v>4</v>
      </c>
      <c r="AI5" s="4"/>
      <c r="AK5" t="s">
        <v>4</v>
      </c>
      <c r="AM5" s="4"/>
      <c r="AO5" t="s">
        <v>4</v>
      </c>
      <c r="AQ5" s="4"/>
      <c r="AS5" t="s">
        <v>4</v>
      </c>
      <c r="AU5" s="4"/>
      <c r="AW5" t="s">
        <v>4</v>
      </c>
      <c r="AY5" s="4"/>
      <c r="BA5" t="s">
        <v>4</v>
      </c>
      <c r="BC5" s="4"/>
      <c r="BE5" t="s">
        <v>4</v>
      </c>
      <c r="BG5" s="4"/>
      <c r="BI5" t="s">
        <v>4</v>
      </c>
      <c r="BK5" s="4"/>
      <c r="BM5" t="s">
        <v>4</v>
      </c>
      <c r="BO5" s="4"/>
      <c r="BQ5" t="s">
        <v>4</v>
      </c>
      <c r="BS5" s="4"/>
      <c r="BU5" t="s">
        <v>4</v>
      </c>
      <c r="BW5" s="4"/>
      <c r="BY5" t="s">
        <v>4</v>
      </c>
      <c r="CA5" s="4"/>
      <c r="CC5" t="s">
        <v>4</v>
      </c>
      <c r="CE5" s="4"/>
      <c r="CG5" t="s">
        <v>4</v>
      </c>
      <c r="CI5" s="4"/>
      <c r="CK5" t="s">
        <v>4</v>
      </c>
      <c r="CM5" s="4"/>
      <c r="CO5" t="s">
        <v>4</v>
      </c>
      <c r="CQ5" s="4"/>
      <c r="CS5" t="s">
        <v>4</v>
      </c>
      <c r="CU5" s="4"/>
      <c r="CW5" t="s">
        <v>4</v>
      </c>
      <c r="CY5" s="4"/>
      <c r="DA5" t="s">
        <v>4</v>
      </c>
      <c r="DC5" s="4"/>
      <c r="DE5" t="s">
        <v>4</v>
      </c>
    </row>
    <row r="6" spans="1:109" x14ac:dyDescent="0.3">
      <c r="A6" s="18" t="s">
        <v>6</v>
      </c>
      <c r="B6" s="10" t="s">
        <v>7</v>
      </c>
      <c r="C6" s="10" t="s">
        <v>8</v>
      </c>
      <c r="D6" s="10" t="s">
        <v>9</v>
      </c>
      <c r="E6" s="19" t="s">
        <v>10</v>
      </c>
      <c r="G6" s="4" t="s">
        <v>6</v>
      </c>
      <c r="H6" s="4" t="s">
        <v>7</v>
      </c>
      <c r="I6" s="4" t="s">
        <v>8</v>
      </c>
      <c r="K6" s="4" t="s">
        <v>6</v>
      </c>
      <c r="L6" s="4" t="s">
        <v>7</v>
      </c>
      <c r="M6" s="4" t="s">
        <v>8</v>
      </c>
      <c r="O6" s="4" t="s">
        <v>6</v>
      </c>
      <c r="P6" s="4" t="s">
        <v>7</v>
      </c>
      <c r="Q6" s="4" t="s">
        <v>8</v>
      </c>
      <c r="S6" s="4" t="s">
        <v>6</v>
      </c>
      <c r="T6" s="4" t="s">
        <v>7</v>
      </c>
      <c r="U6" s="4" t="s">
        <v>8</v>
      </c>
      <c r="W6" s="4" t="s">
        <v>6</v>
      </c>
      <c r="X6" s="4" t="s">
        <v>7</v>
      </c>
      <c r="Y6" s="4" t="s">
        <v>8</v>
      </c>
      <c r="AA6" s="4" t="s">
        <v>6</v>
      </c>
      <c r="AB6" s="4" t="s">
        <v>7</v>
      </c>
      <c r="AC6" s="4" t="s">
        <v>8</v>
      </c>
      <c r="AE6" s="4" t="s">
        <v>6</v>
      </c>
      <c r="AF6" s="4" t="s">
        <v>7</v>
      </c>
      <c r="AG6" s="4" t="s">
        <v>8</v>
      </c>
      <c r="AI6" s="4" t="s">
        <v>6</v>
      </c>
      <c r="AJ6" s="4" t="s">
        <v>7</v>
      </c>
      <c r="AK6" s="4" t="s">
        <v>8</v>
      </c>
      <c r="AM6" s="4" t="s">
        <v>6</v>
      </c>
      <c r="AN6" s="4" t="s">
        <v>7</v>
      </c>
      <c r="AO6" s="4" t="s">
        <v>8</v>
      </c>
      <c r="AQ6" s="4" t="s">
        <v>6</v>
      </c>
      <c r="AR6" s="4" t="s">
        <v>7</v>
      </c>
      <c r="AS6" s="4" t="s">
        <v>8</v>
      </c>
      <c r="AU6" s="4" t="s">
        <v>6</v>
      </c>
      <c r="AV6" s="4" t="s">
        <v>7</v>
      </c>
      <c r="AW6" s="4" t="s">
        <v>8</v>
      </c>
      <c r="AY6" s="4" t="s">
        <v>6</v>
      </c>
      <c r="AZ6" s="4" t="s">
        <v>7</v>
      </c>
      <c r="BA6" s="4" t="s">
        <v>8</v>
      </c>
      <c r="BC6" s="4" t="s">
        <v>6</v>
      </c>
      <c r="BD6" s="4" t="s">
        <v>7</v>
      </c>
      <c r="BE6" s="4" t="s">
        <v>8</v>
      </c>
      <c r="BG6" s="4" t="s">
        <v>6</v>
      </c>
      <c r="BH6" s="4" t="s">
        <v>7</v>
      </c>
      <c r="BI6" s="4" t="s">
        <v>8</v>
      </c>
      <c r="BK6" s="4" t="s">
        <v>6</v>
      </c>
      <c r="BL6" s="4" t="s">
        <v>7</v>
      </c>
      <c r="BM6" s="4" t="s">
        <v>8</v>
      </c>
      <c r="BO6" s="4" t="s">
        <v>6</v>
      </c>
      <c r="BP6" s="4" t="s">
        <v>7</v>
      </c>
      <c r="BQ6" s="4" t="s">
        <v>8</v>
      </c>
      <c r="BS6" s="4" t="s">
        <v>6</v>
      </c>
      <c r="BT6" s="4" t="s">
        <v>7</v>
      </c>
      <c r="BU6" s="4" t="s">
        <v>8</v>
      </c>
      <c r="BW6" s="4" t="s">
        <v>6</v>
      </c>
      <c r="BX6" s="4" t="s">
        <v>7</v>
      </c>
      <c r="BY6" s="4" t="s">
        <v>8</v>
      </c>
      <c r="CA6" s="4" t="s">
        <v>6</v>
      </c>
      <c r="CB6" s="4" t="s">
        <v>7</v>
      </c>
      <c r="CC6" s="4" t="s">
        <v>8</v>
      </c>
      <c r="CE6" s="4" t="s">
        <v>6</v>
      </c>
      <c r="CF6" s="4" t="s">
        <v>7</v>
      </c>
      <c r="CG6" s="4" t="s">
        <v>8</v>
      </c>
      <c r="CI6" s="4" t="s">
        <v>6</v>
      </c>
      <c r="CJ6" s="4" t="s">
        <v>7</v>
      </c>
      <c r="CK6" s="4" t="s">
        <v>8</v>
      </c>
      <c r="CM6" s="4" t="s">
        <v>6</v>
      </c>
      <c r="CN6" s="4" t="s">
        <v>7</v>
      </c>
      <c r="CO6" s="4" t="s">
        <v>8</v>
      </c>
      <c r="CQ6" s="4" t="s">
        <v>6</v>
      </c>
      <c r="CR6" s="4" t="s">
        <v>7</v>
      </c>
      <c r="CS6" s="4" t="s">
        <v>8</v>
      </c>
      <c r="CU6" s="4" t="s">
        <v>6</v>
      </c>
      <c r="CV6" s="4" t="s">
        <v>7</v>
      </c>
      <c r="CW6" s="4" t="s">
        <v>8</v>
      </c>
      <c r="CY6" s="4" t="s">
        <v>6</v>
      </c>
      <c r="CZ6" s="4" t="s">
        <v>7</v>
      </c>
      <c r="DA6" s="4" t="s">
        <v>8</v>
      </c>
      <c r="DC6" s="4" t="s">
        <v>6</v>
      </c>
      <c r="DD6" s="4" t="s">
        <v>7</v>
      </c>
      <c r="DE6" s="4" t="s">
        <v>8</v>
      </c>
    </row>
    <row r="7" spans="1:109" x14ac:dyDescent="0.3">
      <c r="A7" s="20">
        <v>10</v>
      </c>
      <c r="B7" s="6">
        <v>122</v>
      </c>
      <c r="C7" s="1">
        <v>29</v>
      </c>
      <c r="D7" s="5">
        <f>B7/10</f>
        <v>12.2</v>
      </c>
      <c r="E7" s="21">
        <f>1.0066*C7</f>
        <v>29.191399999999998</v>
      </c>
      <c r="G7" s="5">
        <v>10</v>
      </c>
      <c r="H7" s="6">
        <v>122</v>
      </c>
      <c r="I7" s="6"/>
      <c r="K7" s="5">
        <v>10</v>
      </c>
      <c r="L7" s="6">
        <v>122</v>
      </c>
      <c r="M7" s="6">
        <v>59</v>
      </c>
      <c r="O7" s="5">
        <v>10</v>
      </c>
      <c r="P7" s="6">
        <v>122</v>
      </c>
      <c r="Q7" s="6">
        <v>59</v>
      </c>
      <c r="S7" s="5">
        <v>10</v>
      </c>
      <c r="T7" s="6">
        <v>122</v>
      </c>
      <c r="U7" s="6">
        <v>54</v>
      </c>
      <c r="W7" s="5">
        <v>10</v>
      </c>
      <c r="X7" s="6">
        <v>122</v>
      </c>
      <c r="Y7" s="6">
        <v>55</v>
      </c>
      <c r="AA7" s="5">
        <v>10</v>
      </c>
      <c r="AB7" s="6">
        <v>122</v>
      </c>
      <c r="AC7" s="6">
        <v>55</v>
      </c>
      <c r="AE7" s="5">
        <v>10</v>
      </c>
      <c r="AF7" s="6">
        <v>122</v>
      </c>
      <c r="AG7" s="6"/>
      <c r="AI7" s="5">
        <v>10</v>
      </c>
      <c r="AJ7" s="6">
        <v>122</v>
      </c>
      <c r="AK7" s="6"/>
      <c r="AM7" s="5">
        <v>10</v>
      </c>
      <c r="AN7" s="6">
        <v>122</v>
      </c>
      <c r="AO7" s="6"/>
      <c r="AQ7" s="5">
        <v>10</v>
      </c>
      <c r="AR7" s="6">
        <v>122</v>
      </c>
      <c r="AS7" s="6">
        <v>52</v>
      </c>
      <c r="AU7" s="5">
        <v>10</v>
      </c>
      <c r="AV7" s="6">
        <v>122</v>
      </c>
      <c r="AW7" s="6"/>
      <c r="AY7" s="5">
        <v>10</v>
      </c>
      <c r="AZ7" s="6">
        <v>122</v>
      </c>
      <c r="BA7" s="6">
        <v>43</v>
      </c>
      <c r="BC7" s="5">
        <v>10</v>
      </c>
      <c r="BD7" s="6">
        <v>122</v>
      </c>
      <c r="BE7" s="6"/>
      <c r="BG7" s="5">
        <v>10</v>
      </c>
      <c r="BH7" s="6">
        <v>122</v>
      </c>
      <c r="BI7" s="6"/>
      <c r="BK7" s="5">
        <v>10</v>
      </c>
      <c r="BL7" s="6">
        <v>122</v>
      </c>
      <c r="BM7" s="6">
        <v>47</v>
      </c>
      <c r="BO7" s="5">
        <v>10</v>
      </c>
      <c r="BP7" s="6">
        <v>122</v>
      </c>
      <c r="BQ7" s="6"/>
      <c r="BS7" s="5">
        <v>10</v>
      </c>
      <c r="BT7" s="6">
        <v>122</v>
      </c>
      <c r="BU7" s="6"/>
      <c r="BW7" s="5">
        <v>10</v>
      </c>
      <c r="BX7" s="6">
        <v>122</v>
      </c>
      <c r="BY7" s="6"/>
      <c r="CA7" s="5">
        <v>10</v>
      </c>
      <c r="CB7" s="6">
        <v>122</v>
      </c>
      <c r="CC7" s="6"/>
      <c r="CE7" s="5">
        <v>10</v>
      </c>
      <c r="CF7" s="6">
        <v>122</v>
      </c>
      <c r="CG7" s="6"/>
      <c r="CI7" s="5">
        <v>10</v>
      </c>
      <c r="CJ7" s="6">
        <v>122</v>
      </c>
      <c r="CK7" s="6"/>
      <c r="CM7" s="5">
        <v>10</v>
      </c>
      <c r="CN7" s="6">
        <v>122</v>
      </c>
      <c r="CO7" s="6">
        <v>20</v>
      </c>
      <c r="CQ7" s="5">
        <v>10</v>
      </c>
      <c r="CR7" s="6">
        <v>122</v>
      </c>
      <c r="CS7" s="6"/>
      <c r="CU7" s="5">
        <v>10</v>
      </c>
      <c r="CV7" s="6">
        <v>122</v>
      </c>
      <c r="CW7" s="6"/>
      <c r="CY7" s="5">
        <v>10</v>
      </c>
      <c r="CZ7" s="6">
        <v>122</v>
      </c>
      <c r="DA7" s="6"/>
      <c r="DC7" s="5">
        <v>10</v>
      </c>
      <c r="DD7" s="6">
        <v>122</v>
      </c>
      <c r="DE7" s="6"/>
    </row>
    <row r="8" spans="1:109" x14ac:dyDescent="0.3">
      <c r="A8" s="20">
        <v>8</v>
      </c>
      <c r="B8" s="6">
        <v>105</v>
      </c>
      <c r="C8" s="1">
        <v>23</v>
      </c>
      <c r="D8" s="5">
        <f t="shared" ref="D8:D31" si="0">B8/10</f>
        <v>10.5</v>
      </c>
      <c r="E8" s="21">
        <f>1.0066*C8</f>
        <v>23.151799999999998</v>
      </c>
      <c r="G8" s="5">
        <v>8</v>
      </c>
      <c r="H8" s="6">
        <v>105</v>
      </c>
      <c r="I8" s="6"/>
      <c r="K8" s="5">
        <v>8</v>
      </c>
      <c r="L8" s="6">
        <v>105</v>
      </c>
      <c r="M8" s="6">
        <v>49</v>
      </c>
      <c r="O8" s="5">
        <v>8</v>
      </c>
      <c r="P8" s="6">
        <v>105</v>
      </c>
      <c r="Q8" s="6">
        <v>49</v>
      </c>
      <c r="S8" s="5">
        <v>8</v>
      </c>
      <c r="T8" s="6">
        <v>105</v>
      </c>
      <c r="U8" s="6">
        <v>44.5</v>
      </c>
      <c r="W8" s="5">
        <v>8</v>
      </c>
      <c r="X8" s="6">
        <v>105</v>
      </c>
      <c r="Y8" s="6">
        <v>46</v>
      </c>
      <c r="AA8" s="5">
        <v>8</v>
      </c>
      <c r="AB8" s="6">
        <v>105</v>
      </c>
      <c r="AC8" s="6">
        <v>45</v>
      </c>
      <c r="AE8" s="5">
        <v>8</v>
      </c>
      <c r="AF8" s="6">
        <v>105</v>
      </c>
      <c r="AG8" s="6"/>
      <c r="AI8" s="5">
        <v>8</v>
      </c>
      <c r="AJ8" s="6">
        <v>105</v>
      </c>
      <c r="AK8" s="6"/>
      <c r="AM8" s="5">
        <v>8</v>
      </c>
      <c r="AN8" s="6">
        <v>105</v>
      </c>
      <c r="AO8" s="6"/>
      <c r="AQ8" s="5">
        <v>8</v>
      </c>
      <c r="AR8" s="6">
        <v>105</v>
      </c>
      <c r="AS8" s="6">
        <v>42</v>
      </c>
      <c r="AU8" s="5">
        <v>8</v>
      </c>
      <c r="AV8" s="6">
        <v>105</v>
      </c>
      <c r="AW8" s="6"/>
      <c r="AY8" s="5">
        <v>8</v>
      </c>
      <c r="AZ8" s="6">
        <v>105</v>
      </c>
      <c r="BA8" s="6"/>
      <c r="BC8" s="5">
        <v>8</v>
      </c>
      <c r="BD8" s="6">
        <v>105</v>
      </c>
      <c r="BE8" s="6"/>
      <c r="BG8" s="5">
        <v>8</v>
      </c>
      <c r="BH8" s="6">
        <v>105</v>
      </c>
      <c r="BI8" s="6"/>
      <c r="BK8" s="5">
        <v>8</v>
      </c>
      <c r="BL8" s="6">
        <v>105</v>
      </c>
      <c r="BM8" s="6"/>
      <c r="BO8" s="5">
        <v>8</v>
      </c>
      <c r="BP8" s="6">
        <v>105</v>
      </c>
      <c r="BQ8" s="6"/>
      <c r="BS8" s="5">
        <v>8</v>
      </c>
      <c r="BT8" s="6">
        <v>105</v>
      </c>
      <c r="BU8" s="6"/>
      <c r="BW8" s="5">
        <v>8</v>
      </c>
      <c r="BX8" s="6">
        <v>105</v>
      </c>
      <c r="BY8" s="6"/>
      <c r="CA8" s="5">
        <v>8</v>
      </c>
      <c r="CB8" s="6">
        <v>105</v>
      </c>
      <c r="CC8" s="6"/>
      <c r="CE8" s="5">
        <v>8</v>
      </c>
      <c r="CF8" s="6">
        <v>105</v>
      </c>
      <c r="CG8" s="6"/>
      <c r="CI8" s="5">
        <v>8</v>
      </c>
      <c r="CJ8" s="6">
        <v>105</v>
      </c>
      <c r="CK8" s="6"/>
      <c r="CM8" s="5">
        <v>8</v>
      </c>
      <c r="CN8" s="6">
        <v>105</v>
      </c>
      <c r="CO8" s="6">
        <v>15</v>
      </c>
      <c r="CQ8" s="5">
        <v>8</v>
      </c>
      <c r="CR8" s="6">
        <v>105.5</v>
      </c>
      <c r="CS8" s="6"/>
      <c r="CU8" s="5">
        <v>8</v>
      </c>
      <c r="CV8" s="6">
        <v>105.5</v>
      </c>
      <c r="CW8" s="6"/>
      <c r="CY8" s="5">
        <v>8</v>
      </c>
      <c r="CZ8" s="6">
        <v>105.5</v>
      </c>
      <c r="DA8" s="6"/>
      <c r="DC8" s="5">
        <v>8</v>
      </c>
      <c r="DD8" s="6">
        <v>105.5</v>
      </c>
      <c r="DE8" s="6"/>
    </row>
    <row r="9" spans="1:109" x14ac:dyDescent="0.3">
      <c r="A9" s="20">
        <v>6</v>
      </c>
      <c r="B9" s="6">
        <v>88.5</v>
      </c>
      <c r="C9" s="1">
        <v>18</v>
      </c>
      <c r="D9" s="5">
        <f t="shared" si="0"/>
        <v>8.85</v>
      </c>
      <c r="E9" s="21">
        <f>1.0066*C9</f>
        <v>18.1188</v>
      </c>
      <c r="G9" s="5">
        <v>6</v>
      </c>
      <c r="H9" s="6">
        <v>88</v>
      </c>
      <c r="I9" s="6"/>
      <c r="K9" s="5">
        <v>6</v>
      </c>
      <c r="L9" s="6">
        <v>88</v>
      </c>
      <c r="M9" s="6">
        <v>38</v>
      </c>
      <c r="O9" s="5">
        <v>6</v>
      </c>
      <c r="P9" s="6">
        <v>88</v>
      </c>
      <c r="Q9" s="6">
        <v>39</v>
      </c>
      <c r="S9" s="5">
        <v>6</v>
      </c>
      <c r="T9" s="6">
        <v>88.5</v>
      </c>
      <c r="U9" s="6">
        <v>35</v>
      </c>
      <c r="W9" s="5">
        <v>6</v>
      </c>
      <c r="X9" s="6">
        <v>88.5</v>
      </c>
      <c r="Y9" s="6">
        <v>36</v>
      </c>
      <c r="AA9" s="5">
        <v>6</v>
      </c>
      <c r="AB9" s="6">
        <v>88.5</v>
      </c>
      <c r="AC9" s="6">
        <v>36</v>
      </c>
      <c r="AE9" s="5">
        <v>6</v>
      </c>
      <c r="AF9" s="6">
        <v>88.5</v>
      </c>
      <c r="AG9" s="6"/>
      <c r="AI9" s="5">
        <v>6</v>
      </c>
      <c r="AJ9" s="6">
        <v>88.5</v>
      </c>
      <c r="AK9" s="6"/>
      <c r="AM9" s="5">
        <v>6</v>
      </c>
      <c r="AN9" s="6">
        <v>88.5</v>
      </c>
      <c r="AO9" s="6"/>
      <c r="AQ9" s="5">
        <v>6</v>
      </c>
      <c r="AR9" s="6">
        <v>88.5</v>
      </c>
      <c r="AS9" s="6">
        <v>33</v>
      </c>
      <c r="AU9" s="5">
        <v>6</v>
      </c>
      <c r="AV9" s="6">
        <v>88.5</v>
      </c>
      <c r="AW9" s="6"/>
      <c r="AY9" s="5">
        <v>6</v>
      </c>
      <c r="AZ9" s="6">
        <v>88.5</v>
      </c>
      <c r="BA9" s="6"/>
      <c r="BC9" s="5">
        <v>6</v>
      </c>
      <c r="BD9" s="6">
        <v>88.5</v>
      </c>
      <c r="BE9" s="6"/>
      <c r="BG9" s="5">
        <v>6</v>
      </c>
      <c r="BH9" s="6">
        <v>88.5</v>
      </c>
      <c r="BI9" s="6"/>
      <c r="BK9" s="5">
        <v>6</v>
      </c>
      <c r="BL9" s="6">
        <v>88.5</v>
      </c>
      <c r="BM9" s="6"/>
      <c r="BO9" s="5">
        <v>6</v>
      </c>
      <c r="BP9" s="6">
        <v>88.5</v>
      </c>
      <c r="BQ9" s="6"/>
      <c r="BS9" s="5">
        <v>6</v>
      </c>
      <c r="BT9" s="6">
        <v>88.5</v>
      </c>
      <c r="BU9" s="6"/>
      <c r="BW9" s="5">
        <v>6</v>
      </c>
      <c r="BX9" s="6">
        <v>88.5</v>
      </c>
      <c r="BY9" s="6"/>
      <c r="CA9" s="5">
        <v>6</v>
      </c>
      <c r="CB9" s="6">
        <v>88.5</v>
      </c>
      <c r="CC9" s="6"/>
      <c r="CE9" s="5">
        <v>6</v>
      </c>
      <c r="CF9" s="6">
        <v>88.5</v>
      </c>
      <c r="CG9" s="6"/>
      <c r="CI9" s="5">
        <v>6</v>
      </c>
      <c r="CJ9" s="6">
        <v>88.5</v>
      </c>
      <c r="CK9" s="6"/>
      <c r="CM9" s="5">
        <v>6</v>
      </c>
      <c r="CN9" s="6">
        <v>88.5</v>
      </c>
      <c r="CO9" s="6">
        <v>10</v>
      </c>
      <c r="CQ9" s="5">
        <v>6</v>
      </c>
      <c r="CR9" s="6">
        <v>88.5</v>
      </c>
      <c r="CS9" s="6"/>
      <c r="CU9" s="5">
        <v>6</v>
      </c>
      <c r="CV9" s="6">
        <v>88.5</v>
      </c>
      <c r="CW9" s="6"/>
      <c r="CY9" s="5">
        <v>6</v>
      </c>
      <c r="CZ9" s="6">
        <v>88.5</v>
      </c>
      <c r="DA9" s="6"/>
      <c r="DC9" s="5">
        <v>6</v>
      </c>
      <c r="DD9" s="6">
        <v>88.5</v>
      </c>
      <c r="DE9" s="6"/>
    </row>
    <row r="10" spans="1:109" x14ac:dyDescent="0.3">
      <c r="A10" s="20">
        <v>4</v>
      </c>
      <c r="B10" s="6">
        <v>72</v>
      </c>
      <c r="C10" s="1">
        <v>12</v>
      </c>
      <c r="D10" s="5">
        <f t="shared" si="0"/>
        <v>7.2</v>
      </c>
      <c r="E10" s="21">
        <f>1.0066*C10</f>
        <v>12.0792</v>
      </c>
      <c r="G10" s="5">
        <v>4</v>
      </c>
      <c r="H10" s="6">
        <v>72</v>
      </c>
      <c r="I10" s="6"/>
      <c r="K10" s="5">
        <v>4</v>
      </c>
      <c r="L10" s="6">
        <v>72</v>
      </c>
      <c r="M10" s="6">
        <v>27</v>
      </c>
      <c r="O10" s="5">
        <v>4</v>
      </c>
      <c r="P10" s="6">
        <v>72</v>
      </c>
      <c r="Q10" s="6">
        <v>28</v>
      </c>
      <c r="S10" s="5">
        <v>4</v>
      </c>
      <c r="T10" s="6">
        <v>72</v>
      </c>
      <c r="U10" s="6">
        <v>25</v>
      </c>
      <c r="W10" s="5">
        <v>4</v>
      </c>
      <c r="X10" s="6">
        <v>72</v>
      </c>
      <c r="Y10" s="6">
        <v>26</v>
      </c>
      <c r="AA10" s="5">
        <v>4</v>
      </c>
      <c r="AB10" s="6">
        <v>72</v>
      </c>
      <c r="AC10" s="6">
        <v>26</v>
      </c>
      <c r="AE10" s="5">
        <v>4</v>
      </c>
      <c r="AF10" s="6">
        <v>72</v>
      </c>
      <c r="AG10" s="6"/>
      <c r="AI10" s="5">
        <v>4</v>
      </c>
      <c r="AJ10" s="6">
        <v>72</v>
      </c>
      <c r="AK10" s="6"/>
      <c r="AM10" s="5">
        <v>4</v>
      </c>
      <c r="AN10" s="6">
        <v>72</v>
      </c>
      <c r="AO10" s="6"/>
      <c r="AQ10" s="5">
        <v>4</v>
      </c>
      <c r="AR10" s="6">
        <v>72</v>
      </c>
      <c r="AS10" s="6">
        <v>24</v>
      </c>
      <c r="AU10" s="5">
        <v>4</v>
      </c>
      <c r="AV10" s="6">
        <v>72</v>
      </c>
      <c r="AW10" s="6"/>
      <c r="AY10" s="5">
        <v>4</v>
      </c>
      <c r="AZ10" s="6">
        <v>72</v>
      </c>
      <c r="BA10" s="6"/>
      <c r="BC10" s="5">
        <v>4</v>
      </c>
      <c r="BD10" s="6">
        <v>72</v>
      </c>
      <c r="BE10" s="6"/>
      <c r="BG10" s="5">
        <v>4</v>
      </c>
      <c r="BH10" s="6">
        <v>72</v>
      </c>
      <c r="BI10" s="6"/>
      <c r="BK10" s="5">
        <v>4</v>
      </c>
      <c r="BL10" s="6">
        <v>72</v>
      </c>
      <c r="BM10" s="6"/>
      <c r="BO10" s="5">
        <v>4</v>
      </c>
      <c r="BP10" s="6">
        <v>72</v>
      </c>
      <c r="BQ10" s="6"/>
      <c r="BS10" s="5">
        <v>4</v>
      </c>
      <c r="BT10" s="6">
        <v>72</v>
      </c>
      <c r="BU10" s="6"/>
      <c r="BW10" s="5">
        <v>4</v>
      </c>
      <c r="BX10" s="6">
        <v>72</v>
      </c>
      <c r="BY10" s="6"/>
      <c r="CA10" s="5">
        <v>4</v>
      </c>
      <c r="CB10" s="6">
        <v>72</v>
      </c>
      <c r="CC10" s="6"/>
      <c r="CE10" s="5">
        <v>4</v>
      </c>
      <c r="CF10" s="6">
        <v>72</v>
      </c>
      <c r="CG10" s="6"/>
      <c r="CI10" s="5">
        <v>4</v>
      </c>
      <c r="CJ10" s="6">
        <v>72</v>
      </c>
      <c r="CK10" s="6"/>
      <c r="CM10" s="5">
        <v>4</v>
      </c>
      <c r="CN10" s="6">
        <v>72</v>
      </c>
      <c r="CO10" s="6">
        <v>7</v>
      </c>
      <c r="CQ10" s="5">
        <v>4</v>
      </c>
      <c r="CR10" s="6">
        <v>72</v>
      </c>
      <c r="CS10" s="6"/>
      <c r="CU10" s="5">
        <v>4</v>
      </c>
      <c r="CV10" s="6">
        <v>72</v>
      </c>
      <c r="CW10" s="6"/>
      <c r="CY10" s="5">
        <v>4</v>
      </c>
      <c r="CZ10" s="6">
        <v>72</v>
      </c>
      <c r="DA10" s="6"/>
      <c r="DC10" s="5">
        <v>4</v>
      </c>
      <c r="DD10" s="6">
        <v>72</v>
      </c>
      <c r="DE10" s="6"/>
    </row>
    <row r="11" spans="1:109" x14ac:dyDescent="0.3">
      <c r="A11" s="20">
        <v>2</v>
      </c>
      <c r="B11" s="6">
        <v>55</v>
      </c>
      <c r="C11" s="1">
        <v>6</v>
      </c>
      <c r="D11" s="5">
        <f t="shared" si="0"/>
        <v>5.5</v>
      </c>
      <c r="E11" s="21">
        <f>1.0066*C11</f>
        <v>6.0396000000000001</v>
      </c>
      <c r="G11" s="5">
        <v>2</v>
      </c>
      <c r="H11" s="6">
        <v>55</v>
      </c>
      <c r="I11" s="6"/>
      <c r="K11" s="5">
        <v>2</v>
      </c>
      <c r="L11" s="6">
        <v>55</v>
      </c>
      <c r="M11" s="6">
        <v>16</v>
      </c>
      <c r="O11" s="5">
        <v>2</v>
      </c>
      <c r="P11" s="6">
        <v>55</v>
      </c>
      <c r="Q11" s="6">
        <v>17</v>
      </c>
      <c r="S11" s="5">
        <v>2</v>
      </c>
      <c r="T11" s="6">
        <v>55</v>
      </c>
      <c r="U11" s="6">
        <v>15</v>
      </c>
      <c r="W11" s="5">
        <v>2</v>
      </c>
      <c r="X11" s="6">
        <v>55</v>
      </c>
      <c r="Y11" s="6">
        <v>16</v>
      </c>
      <c r="AA11" s="5">
        <v>2</v>
      </c>
      <c r="AB11" s="6">
        <v>55</v>
      </c>
      <c r="AC11" s="6">
        <v>16</v>
      </c>
      <c r="AE11" s="5">
        <v>2</v>
      </c>
      <c r="AF11" s="6">
        <v>55</v>
      </c>
      <c r="AG11" s="6"/>
      <c r="AI11" s="5">
        <v>2</v>
      </c>
      <c r="AJ11" s="6">
        <v>55</v>
      </c>
      <c r="AK11" s="6"/>
      <c r="AM11" s="5">
        <v>2</v>
      </c>
      <c r="AN11" s="6">
        <v>55</v>
      </c>
      <c r="AO11" s="6"/>
      <c r="AQ11" s="5">
        <v>2</v>
      </c>
      <c r="AR11" s="6">
        <v>55</v>
      </c>
      <c r="AS11" s="6">
        <v>14</v>
      </c>
      <c r="AU11" s="5">
        <v>2</v>
      </c>
      <c r="AV11" s="6">
        <v>55</v>
      </c>
      <c r="AW11" s="6"/>
      <c r="AY11" s="5">
        <v>2</v>
      </c>
      <c r="AZ11" s="6">
        <v>55</v>
      </c>
      <c r="BA11" s="6"/>
      <c r="BC11" s="5">
        <v>2</v>
      </c>
      <c r="BD11" s="6">
        <v>55</v>
      </c>
      <c r="BE11" s="6"/>
      <c r="BG11" s="5">
        <v>2</v>
      </c>
      <c r="BH11" s="6">
        <v>55</v>
      </c>
      <c r="BI11" s="6"/>
      <c r="BK11" s="5">
        <v>1.6</v>
      </c>
      <c r="BL11" s="6">
        <v>52</v>
      </c>
      <c r="BM11" s="6">
        <v>11</v>
      </c>
      <c r="BO11" s="5">
        <v>1.6</v>
      </c>
      <c r="BP11" s="6">
        <v>52</v>
      </c>
      <c r="BQ11" s="6"/>
      <c r="BS11" s="5">
        <v>1.6</v>
      </c>
      <c r="BT11" s="6">
        <v>52</v>
      </c>
      <c r="BU11" s="6"/>
      <c r="BW11" s="5">
        <v>1.6</v>
      </c>
      <c r="BX11" s="6">
        <v>52</v>
      </c>
      <c r="BY11" s="6"/>
      <c r="CA11" s="5">
        <v>1.6</v>
      </c>
      <c r="CB11" s="6">
        <v>52</v>
      </c>
      <c r="CC11" s="6"/>
      <c r="CE11" s="5">
        <v>1.6</v>
      </c>
      <c r="CF11" s="6">
        <v>52</v>
      </c>
      <c r="CG11" s="6"/>
      <c r="CI11" s="5">
        <v>1.6</v>
      </c>
      <c r="CJ11" s="6">
        <v>52</v>
      </c>
      <c r="CK11" s="6"/>
      <c r="CM11" s="5">
        <v>2</v>
      </c>
      <c r="CN11" s="6">
        <v>55</v>
      </c>
      <c r="CO11" s="6">
        <v>3</v>
      </c>
      <c r="CQ11" s="5">
        <v>2</v>
      </c>
      <c r="CR11" s="6">
        <v>55</v>
      </c>
      <c r="CS11" s="6"/>
      <c r="CU11" s="5">
        <v>2</v>
      </c>
      <c r="CV11" s="6">
        <v>55</v>
      </c>
      <c r="CW11" s="6"/>
      <c r="CY11" s="5">
        <v>2</v>
      </c>
      <c r="CZ11" s="6">
        <v>55</v>
      </c>
      <c r="DA11" s="6"/>
      <c r="DC11" s="5">
        <v>2</v>
      </c>
      <c r="DD11" s="6">
        <v>55</v>
      </c>
      <c r="DE11" s="6"/>
    </row>
    <row r="12" spans="1:109" x14ac:dyDescent="0.3">
      <c r="A12" s="20">
        <v>1</v>
      </c>
      <c r="B12" s="6">
        <v>46.5</v>
      </c>
      <c r="C12" s="1"/>
      <c r="D12" s="5">
        <f t="shared" si="0"/>
        <v>4.6500000000000004</v>
      </c>
      <c r="E12" s="21"/>
      <c r="G12" s="5">
        <v>0</v>
      </c>
      <c r="H12" s="6">
        <v>38</v>
      </c>
      <c r="I12" s="6"/>
      <c r="K12" s="5">
        <v>0</v>
      </c>
      <c r="L12" s="6">
        <v>38</v>
      </c>
      <c r="M12" s="6">
        <v>0</v>
      </c>
      <c r="O12" s="5">
        <v>1</v>
      </c>
      <c r="P12" s="6">
        <v>47</v>
      </c>
      <c r="Q12" s="6">
        <v>11</v>
      </c>
      <c r="S12" s="5">
        <v>1</v>
      </c>
      <c r="T12" s="6">
        <v>46.5</v>
      </c>
      <c r="U12" s="6">
        <v>10</v>
      </c>
      <c r="W12" s="5">
        <v>1</v>
      </c>
      <c r="X12" s="6">
        <v>46.5</v>
      </c>
      <c r="Y12" s="6"/>
      <c r="AA12" s="5">
        <v>1</v>
      </c>
      <c r="AB12" s="6">
        <v>46.5</v>
      </c>
      <c r="AC12" s="6"/>
      <c r="AE12" s="5">
        <v>1</v>
      </c>
      <c r="AF12" s="6">
        <v>46.5</v>
      </c>
      <c r="AG12" s="6"/>
      <c r="AI12" s="5">
        <v>1</v>
      </c>
      <c r="AJ12" s="6">
        <v>46.5</v>
      </c>
      <c r="AK12" s="6"/>
      <c r="AM12" s="5">
        <v>1</v>
      </c>
      <c r="AN12" s="6">
        <v>46.5</v>
      </c>
      <c r="AO12" s="6"/>
      <c r="AQ12" s="5">
        <v>1</v>
      </c>
      <c r="AR12" s="6">
        <v>46.5</v>
      </c>
      <c r="AS12" s="6"/>
      <c r="AU12" s="5">
        <v>1</v>
      </c>
      <c r="AV12" s="6">
        <v>46.5</v>
      </c>
      <c r="AW12" s="6"/>
      <c r="AY12" s="5">
        <v>1</v>
      </c>
      <c r="AZ12" s="6">
        <v>46.5</v>
      </c>
      <c r="BA12" s="6"/>
      <c r="BC12" s="5">
        <v>1</v>
      </c>
      <c r="BD12" s="6">
        <v>46.5</v>
      </c>
      <c r="BE12" s="6"/>
      <c r="BG12" s="5">
        <v>1</v>
      </c>
      <c r="BH12" s="6">
        <v>46.5</v>
      </c>
      <c r="BI12" s="6"/>
      <c r="BK12" s="5">
        <v>1</v>
      </c>
      <c r="BL12" s="6">
        <v>46.5</v>
      </c>
      <c r="BM12" s="6"/>
      <c r="BO12" s="5">
        <v>1</v>
      </c>
      <c r="BP12" s="6">
        <v>46.5</v>
      </c>
      <c r="BQ12" s="6"/>
      <c r="BS12" s="5">
        <v>1</v>
      </c>
      <c r="BT12" s="6">
        <v>46.5</v>
      </c>
      <c r="BU12" s="6"/>
      <c r="BW12" s="5">
        <v>1</v>
      </c>
      <c r="BX12" s="6">
        <v>46.5</v>
      </c>
      <c r="BY12" s="6"/>
      <c r="CA12" s="5">
        <v>1</v>
      </c>
      <c r="CB12" s="6">
        <v>46.5</v>
      </c>
      <c r="CC12" s="6"/>
      <c r="CE12" s="5">
        <v>1</v>
      </c>
      <c r="CF12" s="6">
        <v>46.5</v>
      </c>
      <c r="CG12" s="6"/>
      <c r="CI12" s="5">
        <v>1</v>
      </c>
      <c r="CJ12" s="6">
        <v>46.5</v>
      </c>
      <c r="CK12" s="6"/>
      <c r="CM12" s="5">
        <v>1</v>
      </c>
      <c r="CN12" s="6">
        <v>46.5</v>
      </c>
      <c r="CO12" s="6">
        <v>0</v>
      </c>
      <c r="CQ12" s="5">
        <v>1</v>
      </c>
      <c r="CR12" s="6">
        <v>46.5</v>
      </c>
      <c r="CS12" s="6"/>
      <c r="CU12" s="5">
        <v>1</v>
      </c>
      <c r="CV12" s="6">
        <v>46.5</v>
      </c>
      <c r="CW12" s="6"/>
      <c r="CY12" s="5">
        <v>1</v>
      </c>
      <c r="CZ12" s="6">
        <v>46.5</v>
      </c>
      <c r="DA12" s="6"/>
      <c r="DC12" s="5">
        <v>1</v>
      </c>
      <c r="DD12" s="6">
        <v>46.5</v>
      </c>
      <c r="DE12" s="6"/>
    </row>
    <row r="13" spans="1:109" x14ac:dyDescent="0.3">
      <c r="A13" s="20">
        <v>0</v>
      </c>
      <c r="B13" s="6">
        <v>38</v>
      </c>
      <c r="C13" s="6">
        <v>0</v>
      </c>
      <c r="D13" s="5">
        <f t="shared" si="0"/>
        <v>3.8</v>
      </c>
      <c r="E13" s="21">
        <f>1.0066*C13</f>
        <v>0</v>
      </c>
      <c r="O13" s="5">
        <v>0</v>
      </c>
      <c r="P13" s="6">
        <v>38</v>
      </c>
      <c r="Q13" s="6">
        <v>0</v>
      </c>
      <c r="S13" s="5">
        <v>0</v>
      </c>
      <c r="T13" s="6">
        <v>38</v>
      </c>
      <c r="U13" s="6">
        <v>0</v>
      </c>
      <c r="W13" s="5">
        <v>0</v>
      </c>
      <c r="X13" s="6">
        <v>38</v>
      </c>
      <c r="Y13" s="6">
        <v>0</v>
      </c>
      <c r="AA13" s="5">
        <v>0</v>
      </c>
      <c r="AB13" s="6">
        <v>38</v>
      </c>
      <c r="AC13" s="6">
        <v>0</v>
      </c>
      <c r="AE13" s="5">
        <v>0</v>
      </c>
      <c r="AF13" s="6">
        <v>38</v>
      </c>
      <c r="AG13" s="6">
        <v>0</v>
      </c>
      <c r="AI13" s="5">
        <v>0</v>
      </c>
      <c r="AJ13" s="6">
        <v>38</v>
      </c>
      <c r="AK13" s="6">
        <v>0</v>
      </c>
      <c r="AM13" s="5">
        <v>0</v>
      </c>
      <c r="AN13" s="6">
        <v>38</v>
      </c>
      <c r="AO13" s="6">
        <v>0</v>
      </c>
      <c r="AQ13" s="5">
        <v>0</v>
      </c>
      <c r="AR13" s="6">
        <v>38</v>
      </c>
      <c r="AS13" s="6">
        <v>0</v>
      </c>
      <c r="AU13" s="5">
        <v>0</v>
      </c>
      <c r="AV13" s="6">
        <v>38</v>
      </c>
      <c r="AW13" s="6"/>
      <c r="AY13" s="5">
        <v>0</v>
      </c>
      <c r="AZ13" s="6">
        <v>38</v>
      </c>
      <c r="BA13" s="6"/>
      <c r="BC13" s="5">
        <v>0</v>
      </c>
      <c r="BD13" s="6">
        <v>38</v>
      </c>
      <c r="BE13" s="6"/>
      <c r="BG13" s="5">
        <v>0</v>
      </c>
      <c r="BH13" s="6">
        <v>38</v>
      </c>
      <c r="BI13" s="6"/>
      <c r="BK13" s="5">
        <v>0</v>
      </c>
      <c r="BL13" s="6">
        <v>38</v>
      </c>
      <c r="BM13" s="6"/>
      <c r="BO13" s="5">
        <v>0</v>
      </c>
      <c r="BP13" s="6">
        <v>38</v>
      </c>
      <c r="BQ13" s="6"/>
      <c r="BS13" s="5">
        <v>0</v>
      </c>
      <c r="BT13" s="6">
        <v>38</v>
      </c>
      <c r="BU13" s="6"/>
      <c r="BW13" s="5">
        <v>0</v>
      </c>
      <c r="BX13" s="6">
        <v>38</v>
      </c>
      <c r="BY13" s="6"/>
      <c r="CA13" s="5">
        <v>0</v>
      </c>
      <c r="CB13" s="6">
        <v>38</v>
      </c>
      <c r="CC13" s="6"/>
      <c r="CE13" s="5">
        <v>0</v>
      </c>
      <c r="CF13" s="6">
        <v>38</v>
      </c>
      <c r="CG13" s="6"/>
      <c r="CI13" s="5">
        <v>0</v>
      </c>
      <c r="CJ13" s="6">
        <v>38</v>
      </c>
      <c r="CK13" s="6"/>
      <c r="CM13" s="5">
        <v>0</v>
      </c>
      <c r="CN13" s="6">
        <v>38</v>
      </c>
      <c r="CO13" s="6">
        <v>0</v>
      </c>
      <c r="CQ13" s="5"/>
      <c r="CR13" s="6">
        <v>38</v>
      </c>
      <c r="CS13" s="6"/>
      <c r="CU13" s="5">
        <v>0</v>
      </c>
      <c r="CV13" s="6">
        <v>38</v>
      </c>
      <c r="CW13" s="6"/>
      <c r="CY13" s="5">
        <v>0</v>
      </c>
      <c r="CZ13" s="6">
        <v>38</v>
      </c>
      <c r="DA13" s="6"/>
      <c r="DC13" s="5">
        <v>0</v>
      </c>
      <c r="DD13" s="6">
        <v>38</v>
      </c>
      <c r="DE13" s="6"/>
    </row>
    <row r="14" spans="1:109" x14ac:dyDescent="0.3">
      <c r="A14" s="18"/>
      <c r="B14" s="7"/>
      <c r="C14" s="7" t="s">
        <v>11</v>
      </c>
      <c r="D14" s="26" t="s">
        <v>12</v>
      </c>
      <c r="E14" s="16"/>
      <c r="G14" s="4"/>
      <c r="I14" t="s">
        <v>11</v>
      </c>
      <c r="K14" s="4"/>
      <c r="M14" t="s">
        <v>11</v>
      </c>
    </row>
    <row r="15" spans="1:109" x14ac:dyDescent="0.3">
      <c r="A15" s="18"/>
      <c r="B15" s="10"/>
      <c r="C15" s="10" t="s">
        <v>13</v>
      </c>
      <c r="D15" s="10" t="s">
        <v>9</v>
      </c>
      <c r="E15" s="16"/>
      <c r="G15" s="4"/>
      <c r="H15" s="4"/>
      <c r="I15" s="4" t="s">
        <v>13</v>
      </c>
      <c r="K15" s="4"/>
      <c r="L15" s="4"/>
      <c r="M15" s="4" t="s">
        <v>13</v>
      </c>
      <c r="O15" s="4"/>
      <c r="Q15" t="s">
        <v>11</v>
      </c>
      <c r="S15" s="4"/>
      <c r="U15" t="s">
        <v>11</v>
      </c>
      <c r="W15" s="4"/>
      <c r="Y15" t="s">
        <v>11</v>
      </c>
      <c r="AA15" s="4"/>
      <c r="AC15" t="s">
        <v>11</v>
      </c>
      <c r="AE15" s="4"/>
      <c r="AG15" t="s">
        <v>11</v>
      </c>
      <c r="AI15" s="4"/>
      <c r="AK15" t="s">
        <v>11</v>
      </c>
      <c r="AM15" s="4"/>
      <c r="AO15" t="s">
        <v>11</v>
      </c>
      <c r="AQ15" s="4"/>
      <c r="AS15" t="s">
        <v>11</v>
      </c>
      <c r="AU15" s="4"/>
      <c r="AW15" t="s">
        <v>11</v>
      </c>
      <c r="AY15" s="4"/>
      <c r="BA15" t="s">
        <v>11</v>
      </c>
      <c r="BC15" s="4"/>
      <c r="BE15" t="s">
        <v>11</v>
      </c>
      <c r="BG15" s="4"/>
      <c r="BI15" t="s">
        <v>11</v>
      </c>
      <c r="BK15" s="4"/>
      <c r="BM15" t="s">
        <v>11</v>
      </c>
      <c r="BO15" s="4"/>
      <c r="BQ15" t="s">
        <v>11</v>
      </c>
      <c r="BS15" s="4"/>
      <c r="BU15" t="s">
        <v>11</v>
      </c>
      <c r="BW15" s="4"/>
      <c r="BY15" t="s">
        <v>11</v>
      </c>
      <c r="CA15" s="4"/>
      <c r="CC15" t="s">
        <v>11</v>
      </c>
      <c r="CE15" s="4"/>
      <c r="CG15" t="s">
        <v>11</v>
      </c>
      <c r="CI15" s="4"/>
      <c r="CK15" t="s">
        <v>11</v>
      </c>
      <c r="CM15" s="4"/>
      <c r="CO15" t="s">
        <v>11</v>
      </c>
      <c r="CQ15" s="4"/>
      <c r="CS15" t="s">
        <v>11</v>
      </c>
      <c r="CU15" s="4"/>
      <c r="CW15" t="s">
        <v>11</v>
      </c>
      <c r="CY15" s="4"/>
      <c r="DA15" t="s">
        <v>11</v>
      </c>
      <c r="DC15" s="4"/>
      <c r="DE15" t="s">
        <v>11</v>
      </c>
    </row>
    <row r="16" spans="1:109" x14ac:dyDescent="0.3">
      <c r="A16" s="20">
        <v>10</v>
      </c>
      <c r="B16" s="6">
        <v>122</v>
      </c>
      <c r="C16" s="1">
        <v>21</v>
      </c>
      <c r="D16" s="8">
        <f t="shared" si="0"/>
        <v>12.2</v>
      </c>
      <c r="E16" s="21">
        <f t="shared" ref="E16:E21" si="1">1.0066*C16</f>
        <v>21.1386</v>
      </c>
      <c r="G16" s="5">
        <v>10</v>
      </c>
      <c r="H16" s="6">
        <v>122</v>
      </c>
      <c r="I16" s="6"/>
      <c r="K16" s="5">
        <v>10</v>
      </c>
      <c r="L16" s="6">
        <v>122</v>
      </c>
      <c r="M16" s="6">
        <v>38</v>
      </c>
      <c r="O16" s="4"/>
      <c r="P16" s="4"/>
      <c r="Q16" s="4" t="s">
        <v>13</v>
      </c>
      <c r="S16" s="4"/>
      <c r="T16" s="4"/>
      <c r="U16" s="4" t="s">
        <v>13</v>
      </c>
      <c r="W16" s="4"/>
      <c r="X16" s="4"/>
      <c r="Y16" s="4" t="s">
        <v>13</v>
      </c>
      <c r="AA16" s="4"/>
      <c r="AB16" s="4"/>
      <c r="AC16" s="4" t="s">
        <v>13</v>
      </c>
      <c r="AE16" s="4"/>
      <c r="AF16" s="4"/>
      <c r="AG16" s="4" t="s">
        <v>13</v>
      </c>
      <c r="AI16" s="4"/>
      <c r="AJ16" s="4"/>
      <c r="AK16" s="4" t="s">
        <v>13</v>
      </c>
      <c r="AM16" s="4"/>
      <c r="AN16" s="4"/>
      <c r="AO16" s="4" t="s">
        <v>13</v>
      </c>
      <c r="AQ16" s="4"/>
      <c r="AR16" s="4"/>
      <c r="AS16" s="4" t="s">
        <v>13</v>
      </c>
      <c r="AU16" s="4"/>
      <c r="AV16" s="4"/>
      <c r="AW16" s="4" t="s">
        <v>13</v>
      </c>
      <c r="AY16" s="4"/>
      <c r="AZ16" s="4"/>
      <c r="BA16" s="4" t="s">
        <v>13</v>
      </c>
      <c r="BC16" s="4"/>
      <c r="BD16" s="4"/>
      <c r="BE16" s="4" t="s">
        <v>13</v>
      </c>
      <c r="BG16" s="4"/>
      <c r="BH16" s="4"/>
      <c r="BI16" s="4" t="s">
        <v>13</v>
      </c>
      <c r="BK16" s="4"/>
      <c r="BL16" s="4"/>
      <c r="BM16" s="4" t="s">
        <v>13</v>
      </c>
      <c r="BO16" s="4"/>
      <c r="BP16" s="4"/>
      <c r="BQ16" s="4" t="s">
        <v>13</v>
      </c>
      <c r="BS16" s="4"/>
      <c r="BT16" s="4"/>
      <c r="BU16" s="4" t="s">
        <v>13</v>
      </c>
      <c r="BW16" s="4"/>
      <c r="BX16" s="4"/>
      <c r="BY16" s="4" t="s">
        <v>13</v>
      </c>
      <c r="CA16" s="4"/>
      <c r="CB16" s="4"/>
      <c r="CC16" s="4" t="s">
        <v>13</v>
      </c>
      <c r="CE16" s="4"/>
      <c r="CF16" s="4"/>
      <c r="CG16" s="4" t="s">
        <v>13</v>
      </c>
      <c r="CI16" s="4"/>
      <c r="CJ16" s="4"/>
      <c r="CK16" s="4" t="s">
        <v>13</v>
      </c>
      <c r="CM16" s="4"/>
      <c r="CN16" s="4"/>
      <c r="CO16" s="4" t="s">
        <v>13</v>
      </c>
      <c r="CQ16" s="4"/>
      <c r="CR16" s="4"/>
      <c r="CS16" s="4" t="s">
        <v>13</v>
      </c>
      <c r="CU16" s="4"/>
      <c r="CV16" s="4"/>
      <c r="CW16" s="4" t="s">
        <v>13</v>
      </c>
      <c r="CY16" s="4"/>
      <c r="CZ16" s="4"/>
      <c r="DA16" s="4" t="s">
        <v>13</v>
      </c>
      <c r="DC16" s="4"/>
      <c r="DD16" s="4"/>
      <c r="DE16" s="4" t="s">
        <v>13</v>
      </c>
    </row>
    <row r="17" spans="1:109" x14ac:dyDescent="0.3">
      <c r="A17" s="20">
        <v>8</v>
      </c>
      <c r="B17" s="6">
        <v>105</v>
      </c>
      <c r="C17" s="1">
        <v>16</v>
      </c>
      <c r="D17" s="8">
        <f t="shared" si="0"/>
        <v>10.5</v>
      </c>
      <c r="E17" s="21">
        <f t="shared" si="1"/>
        <v>16.105599999999999</v>
      </c>
      <c r="G17" s="5">
        <v>8</v>
      </c>
      <c r="H17" s="6">
        <v>105</v>
      </c>
      <c r="I17" s="6"/>
      <c r="K17" s="5">
        <v>8</v>
      </c>
      <c r="L17" s="6">
        <v>105</v>
      </c>
      <c r="M17" s="6">
        <v>31</v>
      </c>
      <c r="O17" s="5">
        <v>10</v>
      </c>
      <c r="P17" s="6">
        <v>122</v>
      </c>
      <c r="Q17" s="6">
        <v>31</v>
      </c>
      <c r="S17" s="5">
        <v>10</v>
      </c>
      <c r="T17" s="6">
        <v>122</v>
      </c>
      <c r="U17" s="6"/>
      <c r="W17" s="5">
        <v>10</v>
      </c>
      <c r="X17" s="6">
        <v>122</v>
      </c>
      <c r="Y17" s="6"/>
      <c r="AA17" s="5">
        <v>10</v>
      </c>
      <c r="AB17" s="6">
        <v>122</v>
      </c>
      <c r="AC17" s="6"/>
      <c r="AE17" s="5">
        <v>10</v>
      </c>
      <c r="AF17" s="6">
        <v>122</v>
      </c>
      <c r="AG17" s="6"/>
      <c r="AI17" s="5">
        <v>10</v>
      </c>
      <c r="AJ17" s="6">
        <v>122</v>
      </c>
      <c r="AK17" s="6"/>
      <c r="AM17" s="5">
        <v>10</v>
      </c>
      <c r="AN17" s="6">
        <v>122</v>
      </c>
      <c r="AO17" s="6"/>
      <c r="AQ17" s="5">
        <v>10</v>
      </c>
      <c r="AR17" s="6">
        <v>122</v>
      </c>
      <c r="AS17" s="6"/>
      <c r="AU17" s="5">
        <v>10</v>
      </c>
      <c r="AV17" s="6">
        <v>122</v>
      </c>
      <c r="AW17" s="6"/>
      <c r="AY17" s="5">
        <v>10</v>
      </c>
      <c r="AZ17" s="6">
        <v>122</v>
      </c>
      <c r="BA17" s="6"/>
      <c r="BC17" s="5">
        <v>10</v>
      </c>
      <c r="BD17" s="6">
        <v>122</v>
      </c>
      <c r="BE17" s="6"/>
      <c r="BG17" s="5">
        <v>10</v>
      </c>
      <c r="BH17" s="6">
        <v>122</v>
      </c>
      <c r="BI17" s="6"/>
      <c r="BK17" s="5">
        <v>10</v>
      </c>
      <c r="BL17" s="6">
        <v>122</v>
      </c>
      <c r="BM17" s="6"/>
      <c r="BO17" s="5">
        <v>10</v>
      </c>
      <c r="BP17" s="6">
        <v>122</v>
      </c>
      <c r="BQ17" s="6"/>
      <c r="BS17" s="5">
        <v>10</v>
      </c>
      <c r="BT17" s="6">
        <v>122</v>
      </c>
      <c r="BU17" s="6"/>
      <c r="BW17" s="5">
        <v>10</v>
      </c>
      <c r="BX17" s="6">
        <v>122</v>
      </c>
      <c r="BY17" s="6"/>
      <c r="CA17" s="5">
        <v>10</v>
      </c>
      <c r="CB17" s="6">
        <v>122</v>
      </c>
      <c r="CC17" s="6"/>
      <c r="CE17" s="5">
        <v>10</v>
      </c>
      <c r="CF17" s="6">
        <v>122</v>
      </c>
      <c r="CG17" s="6"/>
      <c r="CI17" s="5">
        <v>10</v>
      </c>
      <c r="CJ17" s="6">
        <v>122</v>
      </c>
      <c r="CK17" s="6"/>
      <c r="CM17" s="5">
        <v>10</v>
      </c>
      <c r="CN17" s="6">
        <v>122</v>
      </c>
      <c r="CO17" s="6"/>
      <c r="CQ17" s="5">
        <v>10</v>
      </c>
      <c r="CR17" s="6">
        <v>122</v>
      </c>
      <c r="CS17" s="6">
        <v>29</v>
      </c>
      <c r="CU17" s="5">
        <v>10</v>
      </c>
      <c r="CV17" s="6">
        <v>122</v>
      </c>
      <c r="CW17" s="6">
        <v>40</v>
      </c>
      <c r="CY17" s="5">
        <v>10</v>
      </c>
      <c r="CZ17" s="6">
        <v>122</v>
      </c>
      <c r="DA17" s="6">
        <v>35</v>
      </c>
      <c r="DC17" s="5">
        <v>10</v>
      </c>
      <c r="DD17" s="6">
        <v>122</v>
      </c>
      <c r="DE17" s="6">
        <v>27.5</v>
      </c>
    </row>
    <row r="18" spans="1:109" x14ac:dyDescent="0.3">
      <c r="A18" s="20">
        <v>6</v>
      </c>
      <c r="B18" s="6">
        <v>88</v>
      </c>
      <c r="C18" s="1">
        <v>12</v>
      </c>
      <c r="D18" s="8">
        <f t="shared" si="0"/>
        <v>8.8000000000000007</v>
      </c>
      <c r="E18" s="21">
        <f t="shared" si="1"/>
        <v>12.0792</v>
      </c>
      <c r="G18" s="5">
        <v>6</v>
      </c>
      <c r="H18" s="6">
        <v>88</v>
      </c>
      <c r="I18" s="6"/>
      <c r="K18" s="5">
        <v>6</v>
      </c>
      <c r="L18" s="6">
        <v>88</v>
      </c>
      <c r="M18" s="6">
        <v>23</v>
      </c>
      <c r="O18" s="5">
        <v>8</v>
      </c>
      <c r="P18" s="6">
        <v>105</v>
      </c>
      <c r="Q18" s="6">
        <v>25</v>
      </c>
      <c r="S18" s="5">
        <v>8</v>
      </c>
      <c r="T18" s="6">
        <v>105</v>
      </c>
      <c r="U18" s="6"/>
      <c r="W18" s="5">
        <v>8</v>
      </c>
      <c r="X18" s="6">
        <v>105</v>
      </c>
      <c r="Y18" s="6"/>
      <c r="AA18" s="5">
        <v>8</v>
      </c>
      <c r="AB18" s="6">
        <v>105</v>
      </c>
      <c r="AC18" s="6"/>
      <c r="AE18" s="5">
        <v>8</v>
      </c>
      <c r="AF18" s="6">
        <v>105</v>
      </c>
      <c r="AG18" s="6"/>
      <c r="AI18" s="5">
        <v>8</v>
      </c>
      <c r="AJ18" s="6">
        <v>105</v>
      </c>
      <c r="AK18" s="6"/>
      <c r="AM18" s="5">
        <v>8</v>
      </c>
      <c r="AN18" s="6">
        <v>105</v>
      </c>
      <c r="AO18" s="6"/>
      <c r="AQ18" s="5">
        <v>8</v>
      </c>
      <c r="AR18" s="6">
        <v>105</v>
      </c>
      <c r="AS18" s="6"/>
      <c r="AU18" s="5">
        <v>8</v>
      </c>
      <c r="AV18" s="6">
        <v>105</v>
      </c>
      <c r="AW18" s="6"/>
      <c r="AY18" s="5">
        <v>8</v>
      </c>
      <c r="AZ18" s="6">
        <v>105</v>
      </c>
      <c r="BA18" s="6"/>
      <c r="BC18" s="5">
        <v>8</v>
      </c>
      <c r="BD18" s="6">
        <v>105</v>
      </c>
      <c r="BE18" s="6"/>
      <c r="BG18" s="5">
        <v>8</v>
      </c>
      <c r="BH18" s="6">
        <v>105</v>
      </c>
      <c r="BI18" s="6"/>
      <c r="BK18" s="5">
        <v>8</v>
      </c>
      <c r="BL18" s="6">
        <v>105</v>
      </c>
      <c r="BM18" s="6"/>
      <c r="BO18" s="5">
        <v>8</v>
      </c>
      <c r="BP18" s="6">
        <v>105</v>
      </c>
      <c r="BQ18" s="6"/>
      <c r="BS18" s="5">
        <v>8</v>
      </c>
      <c r="BT18" s="6">
        <v>105</v>
      </c>
      <c r="BU18" s="6"/>
      <c r="BW18" s="5">
        <v>8</v>
      </c>
      <c r="BX18" s="6">
        <v>105</v>
      </c>
      <c r="BY18" s="6"/>
      <c r="CA18" s="5">
        <v>8</v>
      </c>
      <c r="CB18" s="6">
        <v>105</v>
      </c>
      <c r="CC18" s="6"/>
      <c r="CE18" s="5">
        <v>8</v>
      </c>
      <c r="CF18" s="6">
        <v>105</v>
      </c>
      <c r="CG18" s="6"/>
      <c r="CI18" s="5">
        <v>8</v>
      </c>
      <c r="CJ18" s="6">
        <v>105</v>
      </c>
      <c r="CK18" s="6"/>
      <c r="CM18" s="5">
        <v>8</v>
      </c>
      <c r="CN18" s="6">
        <v>105</v>
      </c>
      <c r="CO18" s="6"/>
      <c r="CQ18" s="5">
        <v>8</v>
      </c>
      <c r="CR18" s="6">
        <v>105.5</v>
      </c>
      <c r="CS18" s="6">
        <v>23</v>
      </c>
      <c r="CU18" s="5">
        <v>8</v>
      </c>
      <c r="CV18" s="6">
        <v>105.5</v>
      </c>
      <c r="CW18" s="6">
        <v>31</v>
      </c>
      <c r="CY18" s="5">
        <v>8</v>
      </c>
      <c r="CZ18" s="6">
        <v>105.5</v>
      </c>
      <c r="DA18" s="6">
        <v>27</v>
      </c>
      <c r="DC18" s="5">
        <v>8</v>
      </c>
      <c r="DD18" s="6">
        <v>105.5</v>
      </c>
      <c r="DE18" s="6"/>
    </row>
    <row r="19" spans="1:109" x14ac:dyDescent="0.3">
      <c r="A19" s="20">
        <v>4</v>
      </c>
      <c r="B19" s="6">
        <v>72</v>
      </c>
      <c r="C19" s="1">
        <v>8</v>
      </c>
      <c r="D19" s="8">
        <f t="shared" si="0"/>
        <v>7.2</v>
      </c>
      <c r="E19" s="21">
        <f t="shared" si="1"/>
        <v>8.0527999999999995</v>
      </c>
      <c r="G19" s="5">
        <v>4</v>
      </c>
      <c r="H19" s="6">
        <v>72</v>
      </c>
      <c r="I19" s="6"/>
      <c r="K19" s="5">
        <v>4</v>
      </c>
      <c r="L19" s="6">
        <v>72</v>
      </c>
      <c r="M19" s="6">
        <v>16</v>
      </c>
      <c r="O19" s="5">
        <v>6</v>
      </c>
      <c r="P19" s="6">
        <v>88</v>
      </c>
      <c r="Q19" s="6">
        <v>18</v>
      </c>
      <c r="S19" s="5">
        <v>6</v>
      </c>
      <c r="T19" s="6">
        <v>88</v>
      </c>
      <c r="U19" s="6"/>
      <c r="W19" s="5">
        <v>6</v>
      </c>
      <c r="X19" s="6">
        <v>88</v>
      </c>
      <c r="Y19" s="6"/>
      <c r="AA19" s="5">
        <v>6</v>
      </c>
      <c r="AB19" s="6">
        <v>88</v>
      </c>
      <c r="AC19" s="6"/>
      <c r="AE19" s="5">
        <v>6</v>
      </c>
      <c r="AF19" s="6">
        <v>88</v>
      </c>
      <c r="AG19" s="6"/>
      <c r="AI19" s="5">
        <v>6</v>
      </c>
      <c r="AJ19" s="6">
        <v>88</v>
      </c>
      <c r="AK19" s="6"/>
      <c r="AM19" s="5">
        <v>6</v>
      </c>
      <c r="AN19" s="6">
        <v>88</v>
      </c>
      <c r="AO19" s="6"/>
      <c r="AQ19" s="5">
        <v>6</v>
      </c>
      <c r="AR19" s="6">
        <v>88</v>
      </c>
      <c r="AS19" s="6"/>
      <c r="AU19" s="5">
        <v>6</v>
      </c>
      <c r="AV19" s="6">
        <v>88</v>
      </c>
      <c r="AW19" s="6"/>
      <c r="AY19" s="5">
        <v>6</v>
      </c>
      <c r="AZ19" s="6">
        <v>88</v>
      </c>
      <c r="BA19" s="6"/>
      <c r="BC19" s="5">
        <v>6</v>
      </c>
      <c r="BD19" s="6">
        <v>88</v>
      </c>
      <c r="BE19" s="6"/>
      <c r="BG19" s="5">
        <v>6</v>
      </c>
      <c r="BH19" s="6">
        <v>88</v>
      </c>
      <c r="BI19" s="6"/>
      <c r="BK19" s="5">
        <v>6</v>
      </c>
      <c r="BL19" s="6">
        <v>88</v>
      </c>
      <c r="BM19" s="6"/>
      <c r="BO19" s="5">
        <v>6</v>
      </c>
      <c r="BP19" s="6">
        <v>88</v>
      </c>
      <c r="BQ19" s="6"/>
      <c r="BS19" s="5">
        <v>6</v>
      </c>
      <c r="BT19" s="6">
        <v>88</v>
      </c>
      <c r="BU19" s="6"/>
      <c r="BW19" s="5">
        <v>6</v>
      </c>
      <c r="BX19" s="6">
        <v>88</v>
      </c>
      <c r="BY19" s="6"/>
      <c r="CA19" s="5">
        <v>6</v>
      </c>
      <c r="CB19" s="6">
        <v>88</v>
      </c>
      <c r="CC19" s="6"/>
      <c r="CE19" s="5">
        <v>6</v>
      </c>
      <c r="CF19" s="6">
        <v>88</v>
      </c>
      <c r="CG19" s="6"/>
      <c r="CI19" s="5">
        <v>6</v>
      </c>
      <c r="CJ19" s="6">
        <v>88</v>
      </c>
      <c r="CK19" s="6"/>
      <c r="CM19" s="5">
        <v>6</v>
      </c>
      <c r="CN19" s="6">
        <v>88</v>
      </c>
      <c r="CO19" s="6"/>
      <c r="CQ19" s="5">
        <v>6</v>
      </c>
      <c r="CR19" s="6">
        <v>88.5</v>
      </c>
      <c r="CS19" s="6">
        <v>17.5</v>
      </c>
      <c r="CU19" s="5">
        <v>6</v>
      </c>
      <c r="CV19" s="6">
        <v>88.5</v>
      </c>
      <c r="CW19" s="6">
        <v>23</v>
      </c>
      <c r="CY19" s="5">
        <v>6</v>
      </c>
      <c r="CZ19" s="6">
        <v>88.5</v>
      </c>
      <c r="DA19" s="6">
        <v>20</v>
      </c>
      <c r="DC19" s="5">
        <v>6</v>
      </c>
      <c r="DD19" s="6">
        <v>88.5</v>
      </c>
      <c r="DE19" s="6"/>
    </row>
    <row r="20" spans="1:109" x14ac:dyDescent="0.3">
      <c r="A20" s="20">
        <v>2</v>
      </c>
      <c r="B20" s="6">
        <v>55</v>
      </c>
      <c r="C20" s="1">
        <v>5</v>
      </c>
      <c r="D20" s="8">
        <f t="shared" si="0"/>
        <v>5.5</v>
      </c>
      <c r="E20" s="21">
        <f t="shared" si="1"/>
        <v>5.0329999999999995</v>
      </c>
      <c r="G20" s="5">
        <v>2</v>
      </c>
      <c r="H20" s="6">
        <v>55</v>
      </c>
      <c r="I20" s="6"/>
      <c r="K20" s="5">
        <v>2</v>
      </c>
      <c r="L20" s="6">
        <v>55</v>
      </c>
      <c r="M20" s="6">
        <v>9</v>
      </c>
      <c r="O20" s="5">
        <v>4</v>
      </c>
      <c r="P20" s="6">
        <v>72</v>
      </c>
      <c r="Q20" s="6">
        <v>12</v>
      </c>
      <c r="S20" s="5">
        <v>4</v>
      </c>
      <c r="T20" s="6">
        <v>72</v>
      </c>
      <c r="U20" s="6"/>
      <c r="W20" s="5">
        <v>4</v>
      </c>
      <c r="X20" s="6">
        <v>72</v>
      </c>
      <c r="Y20" s="6"/>
      <c r="AA20" s="5">
        <v>4</v>
      </c>
      <c r="AB20" s="6">
        <v>72</v>
      </c>
      <c r="AC20" s="6"/>
      <c r="AE20" s="5">
        <v>4</v>
      </c>
      <c r="AF20" s="6">
        <v>72</v>
      </c>
      <c r="AG20" s="6"/>
      <c r="AI20" s="5">
        <v>4</v>
      </c>
      <c r="AJ20" s="6">
        <v>72</v>
      </c>
      <c r="AK20" s="6"/>
      <c r="AM20" s="5">
        <v>4</v>
      </c>
      <c r="AN20" s="6">
        <v>72</v>
      </c>
      <c r="AO20" s="6"/>
      <c r="AQ20" s="5">
        <v>4</v>
      </c>
      <c r="AR20" s="6">
        <v>72</v>
      </c>
      <c r="AS20" s="6"/>
      <c r="AU20" s="5">
        <v>4</v>
      </c>
      <c r="AV20" s="6">
        <v>72</v>
      </c>
      <c r="AW20" s="6"/>
      <c r="AY20" s="5">
        <v>4</v>
      </c>
      <c r="AZ20" s="6">
        <v>72</v>
      </c>
      <c r="BA20" s="6"/>
      <c r="BC20" s="5">
        <v>4</v>
      </c>
      <c r="BD20" s="6">
        <v>72</v>
      </c>
      <c r="BE20" s="6"/>
      <c r="BG20" s="5">
        <v>4</v>
      </c>
      <c r="BH20" s="6">
        <v>72</v>
      </c>
      <c r="BI20" s="6"/>
      <c r="BK20" s="5">
        <v>4</v>
      </c>
      <c r="BL20" s="6">
        <v>72</v>
      </c>
      <c r="BM20" s="6"/>
      <c r="BO20" s="5">
        <v>4</v>
      </c>
      <c r="BP20" s="6">
        <v>72</v>
      </c>
      <c r="BQ20" s="6"/>
      <c r="BS20" s="5">
        <v>4</v>
      </c>
      <c r="BT20" s="6">
        <v>72</v>
      </c>
      <c r="BU20" s="6"/>
      <c r="BW20" s="5">
        <v>4</v>
      </c>
      <c r="BX20" s="6">
        <v>72</v>
      </c>
      <c r="BY20" s="6"/>
      <c r="CA20" s="5">
        <v>4</v>
      </c>
      <c r="CB20" s="6">
        <v>72</v>
      </c>
      <c r="CC20" s="6"/>
      <c r="CE20" s="5">
        <v>4</v>
      </c>
      <c r="CF20" s="6">
        <v>72</v>
      </c>
      <c r="CG20" s="6"/>
      <c r="CI20" s="5">
        <v>4</v>
      </c>
      <c r="CJ20" s="6">
        <v>72</v>
      </c>
      <c r="CK20" s="6"/>
      <c r="CM20" s="5">
        <v>4</v>
      </c>
      <c r="CN20" s="6">
        <v>72</v>
      </c>
      <c r="CO20" s="6"/>
      <c r="CQ20" s="5">
        <v>4</v>
      </c>
      <c r="CR20" s="6">
        <v>72</v>
      </c>
      <c r="CS20" s="6">
        <v>11.5</v>
      </c>
      <c r="CU20" s="5">
        <v>4</v>
      </c>
      <c r="CV20" s="6">
        <v>72</v>
      </c>
      <c r="CW20" s="6">
        <v>15</v>
      </c>
      <c r="CY20" s="5">
        <v>4</v>
      </c>
      <c r="CZ20" s="6">
        <v>72</v>
      </c>
      <c r="DA20" s="6">
        <v>13</v>
      </c>
      <c r="DC20" s="5">
        <v>4</v>
      </c>
      <c r="DD20" s="6">
        <v>72</v>
      </c>
      <c r="DE20" s="6"/>
    </row>
    <row r="21" spans="1:109" x14ac:dyDescent="0.3">
      <c r="A21" s="20">
        <v>0</v>
      </c>
      <c r="B21" s="6">
        <v>38</v>
      </c>
      <c r="C21" s="1">
        <v>0</v>
      </c>
      <c r="D21" s="8">
        <f t="shared" si="0"/>
        <v>3.8</v>
      </c>
      <c r="E21" s="21">
        <f t="shared" si="1"/>
        <v>0</v>
      </c>
      <c r="G21" s="5">
        <v>0</v>
      </c>
      <c r="H21" s="6">
        <v>38</v>
      </c>
      <c r="I21" s="6"/>
      <c r="K21" s="5">
        <v>0</v>
      </c>
      <c r="L21" s="6">
        <v>38</v>
      </c>
      <c r="M21" s="6">
        <v>0</v>
      </c>
      <c r="O21" s="5">
        <v>2</v>
      </c>
      <c r="P21" s="6">
        <v>55</v>
      </c>
      <c r="Q21" s="6">
        <v>7</v>
      </c>
      <c r="S21" s="5">
        <v>2</v>
      </c>
      <c r="T21" s="6">
        <v>55</v>
      </c>
      <c r="U21" s="6"/>
      <c r="W21" s="5">
        <v>2</v>
      </c>
      <c r="X21" s="6">
        <v>55</v>
      </c>
      <c r="Y21" s="6"/>
      <c r="AA21" s="5">
        <v>2</v>
      </c>
      <c r="AB21" s="6">
        <v>55</v>
      </c>
      <c r="AC21" s="6"/>
      <c r="AE21" s="5">
        <v>2</v>
      </c>
      <c r="AF21" s="6">
        <v>55</v>
      </c>
      <c r="AG21" s="6"/>
      <c r="AI21" s="5">
        <v>2</v>
      </c>
      <c r="AJ21" s="6">
        <v>55</v>
      </c>
      <c r="AK21" s="6"/>
      <c r="AM21" s="5">
        <v>2</v>
      </c>
      <c r="AN21" s="6">
        <v>55</v>
      </c>
      <c r="AO21" s="6"/>
      <c r="AQ21" s="5">
        <v>2</v>
      </c>
      <c r="AR21" s="6">
        <v>55</v>
      </c>
      <c r="AS21" s="6"/>
      <c r="AU21" s="5">
        <v>2</v>
      </c>
      <c r="AV21" s="6">
        <v>55</v>
      </c>
      <c r="AW21" s="6"/>
      <c r="AY21" s="5">
        <v>2</v>
      </c>
      <c r="AZ21" s="6">
        <v>55</v>
      </c>
      <c r="BA21" s="6"/>
      <c r="BC21" s="5">
        <v>2</v>
      </c>
      <c r="BD21" s="6">
        <v>55</v>
      </c>
      <c r="BE21" s="6"/>
      <c r="BG21" s="5">
        <v>2</v>
      </c>
      <c r="BH21" s="6">
        <v>55</v>
      </c>
      <c r="BI21" s="6"/>
      <c r="BK21" s="5">
        <v>2</v>
      </c>
      <c r="BL21" s="6">
        <v>55</v>
      </c>
      <c r="BM21" s="6"/>
      <c r="BO21" s="5">
        <v>2</v>
      </c>
      <c r="BP21" s="6">
        <v>55</v>
      </c>
      <c r="BQ21" s="6"/>
      <c r="BS21" s="5">
        <v>2</v>
      </c>
      <c r="BT21" s="6">
        <v>55</v>
      </c>
      <c r="BU21" s="6"/>
      <c r="BW21" s="5">
        <v>2</v>
      </c>
      <c r="BX21" s="6">
        <v>55</v>
      </c>
      <c r="BY21" s="6"/>
      <c r="CA21" s="5">
        <v>2</v>
      </c>
      <c r="CB21" s="6">
        <v>55</v>
      </c>
      <c r="CC21" s="6"/>
      <c r="CE21" s="5">
        <v>2</v>
      </c>
      <c r="CF21" s="6">
        <v>55</v>
      </c>
      <c r="CG21" s="6"/>
      <c r="CI21" s="5">
        <v>2</v>
      </c>
      <c r="CJ21" s="6">
        <v>55</v>
      </c>
      <c r="CK21" s="6"/>
      <c r="CM21" s="5">
        <v>2</v>
      </c>
      <c r="CN21" s="6">
        <v>55</v>
      </c>
      <c r="CO21" s="6"/>
      <c r="CQ21" s="5">
        <v>2</v>
      </c>
      <c r="CR21" s="6">
        <v>55</v>
      </c>
      <c r="CS21" s="6">
        <v>6</v>
      </c>
      <c r="CU21" s="5">
        <v>2</v>
      </c>
      <c r="CV21" s="6">
        <v>55</v>
      </c>
      <c r="CW21" s="6">
        <v>8</v>
      </c>
      <c r="CY21" s="5">
        <v>2</v>
      </c>
      <c r="CZ21" s="6">
        <v>55</v>
      </c>
      <c r="DA21" s="6">
        <v>7</v>
      </c>
      <c r="DC21" s="5">
        <v>2</v>
      </c>
      <c r="DD21" s="6">
        <v>55</v>
      </c>
      <c r="DE21" s="6"/>
    </row>
    <row r="22" spans="1:109" x14ac:dyDescent="0.3">
      <c r="A22" s="17"/>
      <c r="B22" s="7"/>
      <c r="C22" s="7"/>
      <c r="D22" s="7"/>
      <c r="E22" s="16"/>
      <c r="O22" s="5">
        <v>0</v>
      </c>
      <c r="P22" s="6">
        <v>38</v>
      </c>
      <c r="Q22" s="6">
        <v>0</v>
      </c>
      <c r="S22" s="5">
        <v>0</v>
      </c>
      <c r="T22" s="6">
        <v>38</v>
      </c>
      <c r="U22" s="6"/>
      <c r="W22" s="5">
        <v>0</v>
      </c>
      <c r="X22" s="6">
        <v>38</v>
      </c>
      <c r="Y22" s="6"/>
      <c r="AA22" s="5">
        <v>0</v>
      </c>
      <c r="AB22" s="6">
        <v>38</v>
      </c>
      <c r="AC22" s="6"/>
      <c r="AE22" s="5">
        <v>0</v>
      </c>
      <c r="AF22" s="6">
        <v>38</v>
      </c>
      <c r="AG22" s="6"/>
      <c r="AI22" s="5">
        <v>0</v>
      </c>
      <c r="AJ22" s="6">
        <v>38</v>
      </c>
      <c r="AK22" s="6"/>
      <c r="AM22" s="5">
        <v>0</v>
      </c>
      <c r="AN22" s="6">
        <v>38</v>
      </c>
      <c r="AO22" s="6"/>
      <c r="AQ22" s="5">
        <v>0</v>
      </c>
      <c r="AR22" s="6">
        <v>38</v>
      </c>
      <c r="AS22" s="6"/>
      <c r="AU22" s="5">
        <v>0</v>
      </c>
      <c r="AV22" s="6">
        <v>38</v>
      </c>
      <c r="AW22" s="6"/>
      <c r="AY22" s="5">
        <v>0</v>
      </c>
      <c r="AZ22" s="6">
        <v>38</v>
      </c>
      <c r="BA22" s="6"/>
      <c r="BC22" s="5">
        <v>0</v>
      </c>
      <c r="BD22" s="6">
        <v>38</v>
      </c>
      <c r="BE22" s="6"/>
      <c r="BG22" s="5">
        <v>0</v>
      </c>
      <c r="BH22" s="6">
        <v>38</v>
      </c>
      <c r="BI22" s="6"/>
      <c r="BK22" s="5">
        <v>0</v>
      </c>
      <c r="BL22" s="6">
        <v>38</v>
      </c>
      <c r="BM22" s="6"/>
      <c r="BO22" s="5">
        <v>0</v>
      </c>
      <c r="BP22" s="6">
        <v>38</v>
      </c>
      <c r="BQ22" s="6"/>
      <c r="BS22" s="5">
        <v>0</v>
      </c>
      <c r="BT22" s="6">
        <v>38</v>
      </c>
      <c r="BU22" s="6"/>
      <c r="BW22" s="5">
        <v>0</v>
      </c>
      <c r="BX22" s="6">
        <v>38</v>
      </c>
      <c r="BY22" s="6"/>
      <c r="CA22" s="5">
        <v>0</v>
      </c>
      <c r="CB22" s="6">
        <v>38</v>
      </c>
      <c r="CC22" s="6"/>
      <c r="CE22" s="5">
        <v>0</v>
      </c>
      <c r="CF22" s="6">
        <v>38</v>
      </c>
      <c r="CG22" s="6"/>
      <c r="CI22" s="5">
        <v>0</v>
      </c>
      <c r="CJ22" s="6">
        <v>38</v>
      </c>
      <c r="CK22" s="6"/>
      <c r="CM22" s="5">
        <v>0</v>
      </c>
      <c r="CN22" s="6">
        <v>38</v>
      </c>
      <c r="CO22" s="6"/>
      <c r="CQ22" s="5">
        <v>1</v>
      </c>
      <c r="CR22" s="6">
        <v>46.5</v>
      </c>
      <c r="CS22" s="6">
        <v>3</v>
      </c>
      <c r="CU22" s="5">
        <v>1</v>
      </c>
      <c r="CV22" s="6">
        <v>46.5</v>
      </c>
      <c r="CW22" s="6">
        <v>5</v>
      </c>
      <c r="CY22" s="5">
        <v>1</v>
      </c>
      <c r="CZ22" s="6">
        <v>46.5</v>
      </c>
      <c r="DA22" s="6">
        <v>4</v>
      </c>
      <c r="DC22" s="5">
        <v>1</v>
      </c>
      <c r="DD22" s="6">
        <v>46.5</v>
      </c>
      <c r="DE22" s="6"/>
    </row>
    <row r="23" spans="1:109" x14ac:dyDescent="0.3">
      <c r="A23" s="18"/>
      <c r="B23" s="7"/>
      <c r="C23" s="7" t="s">
        <v>11</v>
      </c>
      <c r="D23" s="26" t="s">
        <v>14</v>
      </c>
      <c r="E23" s="16"/>
      <c r="G23" s="4"/>
      <c r="I23" t="s">
        <v>11</v>
      </c>
      <c r="K23" s="4"/>
      <c r="M23" t="s">
        <v>11</v>
      </c>
      <c r="CU23" s="5">
        <v>0.5</v>
      </c>
      <c r="CV23" s="6">
        <v>42</v>
      </c>
      <c r="CW23" s="6">
        <v>2</v>
      </c>
      <c r="CY23" s="5">
        <v>0.5</v>
      </c>
      <c r="CZ23" s="6">
        <v>42</v>
      </c>
      <c r="DA23" s="6">
        <v>2</v>
      </c>
      <c r="DC23" s="5">
        <v>0.5</v>
      </c>
      <c r="DD23" s="6">
        <v>42</v>
      </c>
      <c r="DE23" s="6"/>
    </row>
    <row r="24" spans="1:109" x14ac:dyDescent="0.3">
      <c r="A24" s="18"/>
      <c r="B24" s="10"/>
      <c r="C24" s="10" t="s">
        <v>13</v>
      </c>
      <c r="D24" s="10" t="s">
        <v>9</v>
      </c>
      <c r="E24" s="16"/>
      <c r="G24" s="4"/>
      <c r="H24" s="4"/>
      <c r="I24" s="4" t="s">
        <v>13</v>
      </c>
      <c r="K24" s="4"/>
      <c r="L24" s="4"/>
      <c r="M24" s="4" t="s">
        <v>13</v>
      </c>
      <c r="O24" s="4"/>
      <c r="Q24" t="s">
        <v>11</v>
      </c>
      <c r="S24" s="4"/>
      <c r="U24" t="s">
        <v>11</v>
      </c>
      <c r="W24" s="4"/>
      <c r="Y24" t="s">
        <v>11</v>
      </c>
      <c r="AA24" s="4"/>
      <c r="AC24" t="s">
        <v>11</v>
      </c>
      <c r="AE24" s="4"/>
      <c r="AG24" t="s">
        <v>11</v>
      </c>
      <c r="AI24" s="4"/>
      <c r="AK24" t="s">
        <v>11</v>
      </c>
      <c r="AM24" s="4"/>
      <c r="AO24" t="s">
        <v>11</v>
      </c>
      <c r="AQ24" s="4"/>
      <c r="AS24" t="s">
        <v>11</v>
      </c>
      <c r="AU24" s="4"/>
      <c r="AW24" t="s">
        <v>11</v>
      </c>
      <c r="AY24" s="4"/>
      <c r="BA24" t="s">
        <v>11</v>
      </c>
      <c r="BC24" s="4"/>
      <c r="BE24" t="s">
        <v>11</v>
      </c>
      <c r="BG24" s="4"/>
      <c r="BI24" t="s">
        <v>11</v>
      </c>
      <c r="BK24" s="4"/>
      <c r="BM24" t="s">
        <v>11</v>
      </c>
      <c r="BO24" s="4"/>
      <c r="BQ24" t="s">
        <v>11</v>
      </c>
      <c r="BS24" s="4"/>
      <c r="BU24" t="s">
        <v>11</v>
      </c>
      <c r="BW24" s="4"/>
      <c r="BY24" t="s">
        <v>11</v>
      </c>
      <c r="CA24" s="4"/>
      <c r="CC24" t="s">
        <v>11</v>
      </c>
      <c r="CE24" s="4"/>
      <c r="CG24" t="s">
        <v>11</v>
      </c>
      <c r="CI24" s="4"/>
      <c r="CK24" t="s">
        <v>11</v>
      </c>
      <c r="CM24" s="4"/>
      <c r="CO24" t="s">
        <v>11</v>
      </c>
      <c r="CQ24" s="4"/>
      <c r="CS24" t="s">
        <v>11</v>
      </c>
    </row>
    <row r="25" spans="1:109" x14ac:dyDescent="0.3">
      <c r="A25" s="20">
        <v>10</v>
      </c>
      <c r="B25" s="6">
        <v>122</v>
      </c>
      <c r="C25" s="1">
        <v>18</v>
      </c>
      <c r="D25" s="5">
        <f t="shared" si="0"/>
        <v>12.2</v>
      </c>
      <c r="E25" s="21">
        <f>1.0066*C25</f>
        <v>18.1188</v>
      </c>
      <c r="G25" s="5">
        <v>10</v>
      </c>
      <c r="H25" s="6">
        <v>122</v>
      </c>
      <c r="I25" s="6">
        <v>22</v>
      </c>
      <c r="K25" s="5">
        <v>10</v>
      </c>
      <c r="L25" s="6">
        <v>122</v>
      </c>
      <c r="M25" s="6">
        <v>31</v>
      </c>
      <c r="O25" s="4"/>
      <c r="P25" s="4"/>
      <c r="Q25" s="4" t="s">
        <v>13</v>
      </c>
      <c r="S25" s="4"/>
      <c r="T25" s="4"/>
      <c r="U25" s="4" t="s">
        <v>13</v>
      </c>
      <c r="W25" s="4"/>
      <c r="X25" s="4"/>
      <c r="Y25" s="4" t="s">
        <v>13</v>
      </c>
      <c r="AA25" s="4"/>
      <c r="AB25" s="4"/>
      <c r="AC25" s="4" t="s">
        <v>13</v>
      </c>
      <c r="AE25" s="4"/>
      <c r="AF25" s="4"/>
      <c r="AG25" s="4" t="s">
        <v>13</v>
      </c>
      <c r="AI25" s="4"/>
      <c r="AJ25" s="4"/>
      <c r="AK25" s="4" t="s">
        <v>13</v>
      </c>
      <c r="AM25" s="4"/>
      <c r="AN25" s="4"/>
      <c r="AO25" s="4" t="s">
        <v>13</v>
      </c>
      <c r="AQ25" s="4"/>
      <c r="AR25" s="4"/>
      <c r="AS25" s="4" t="s">
        <v>13</v>
      </c>
      <c r="AU25" s="4"/>
      <c r="AV25" s="4"/>
      <c r="AW25" s="4" t="s">
        <v>13</v>
      </c>
      <c r="AY25" s="4"/>
      <c r="AZ25" s="4"/>
      <c r="BA25" s="4" t="s">
        <v>13</v>
      </c>
      <c r="BC25" s="4"/>
      <c r="BD25" s="4"/>
      <c r="BE25" s="4" t="s">
        <v>13</v>
      </c>
      <c r="BG25" s="4"/>
      <c r="BH25" s="4"/>
      <c r="BI25" s="4" t="s">
        <v>13</v>
      </c>
      <c r="BK25" s="4"/>
      <c r="BL25" s="4"/>
      <c r="BM25" s="4" t="s">
        <v>13</v>
      </c>
      <c r="BO25" s="4"/>
      <c r="BP25" s="4"/>
      <c r="BQ25" s="4" t="s">
        <v>13</v>
      </c>
      <c r="BS25" s="4"/>
      <c r="BT25" s="4"/>
      <c r="BU25" s="4" t="s">
        <v>13</v>
      </c>
      <c r="BW25" s="4"/>
      <c r="BX25" s="4"/>
      <c r="BY25" s="4" t="s">
        <v>13</v>
      </c>
      <c r="CA25" s="4"/>
      <c r="CB25" s="4"/>
      <c r="CC25" s="4" t="s">
        <v>13</v>
      </c>
      <c r="CE25" s="4"/>
      <c r="CF25" s="4"/>
      <c r="CG25" s="4" t="s">
        <v>13</v>
      </c>
      <c r="CI25" s="4"/>
      <c r="CJ25" s="4"/>
      <c r="CK25" s="4" t="s">
        <v>13</v>
      </c>
      <c r="CM25" s="4"/>
      <c r="CN25" s="4"/>
      <c r="CO25" s="4" t="s">
        <v>13</v>
      </c>
      <c r="CQ25" s="4"/>
      <c r="CR25" s="4"/>
      <c r="CS25" s="4" t="s">
        <v>13</v>
      </c>
      <c r="CU25" s="4"/>
      <c r="CW25" t="s">
        <v>11</v>
      </c>
      <c r="CY25" s="4"/>
      <c r="DA25" t="s">
        <v>11</v>
      </c>
      <c r="DC25" s="4"/>
      <c r="DE25" t="s">
        <v>11</v>
      </c>
    </row>
    <row r="26" spans="1:109" x14ac:dyDescent="0.3">
      <c r="A26" s="20">
        <v>8</v>
      </c>
      <c r="B26" s="6">
        <v>105</v>
      </c>
      <c r="C26" s="1">
        <v>14.5</v>
      </c>
      <c r="D26" s="5">
        <f t="shared" si="0"/>
        <v>10.5</v>
      </c>
      <c r="E26" s="21">
        <f>1.0066*C26</f>
        <v>14.595699999999999</v>
      </c>
      <c r="G26" s="5">
        <v>8</v>
      </c>
      <c r="H26" s="6">
        <v>105</v>
      </c>
      <c r="I26" s="6">
        <v>17</v>
      </c>
      <c r="K26" s="5">
        <v>8</v>
      </c>
      <c r="L26" s="6">
        <v>105</v>
      </c>
      <c r="M26" s="6">
        <v>26.5</v>
      </c>
      <c r="O26" s="5">
        <v>10</v>
      </c>
      <c r="P26" s="6">
        <v>122</v>
      </c>
      <c r="Q26" s="6">
        <v>22</v>
      </c>
      <c r="S26" s="5">
        <v>10</v>
      </c>
      <c r="T26" s="6">
        <v>122</v>
      </c>
      <c r="U26" s="6">
        <v>34.5</v>
      </c>
      <c r="W26" s="5">
        <v>10</v>
      </c>
      <c r="X26" s="6">
        <v>122</v>
      </c>
      <c r="Y26" s="6">
        <v>37</v>
      </c>
      <c r="AA26" s="5">
        <v>10</v>
      </c>
      <c r="AB26" s="6">
        <v>122</v>
      </c>
      <c r="AC26" s="6">
        <v>36</v>
      </c>
      <c r="AE26" s="5">
        <v>10</v>
      </c>
      <c r="AF26" s="6">
        <v>122</v>
      </c>
      <c r="AG26" s="6">
        <v>38</v>
      </c>
      <c r="AI26" s="5">
        <v>10</v>
      </c>
      <c r="AJ26" s="6">
        <v>122</v>
      </c>
      <c r="AK26" s="6">
        <v>37</v>
      </c>
      <c r="AM26" s="5">
        <v>10</v>
      </c>
      <c r="AN26" s="6">
        <v>122</v>
      </c>
      <c r="AO26" s="6">
        <v>33</v>
      </c>
      <c r="AQ26" s="5">
        <v>10</v>
      </c>
      <c r="AR26" s="6">
        <v>122</v>
      </c>
      <c r="AS26" s="6">
        <v>34</v>
      </c>
      <c r="AU26" s="5">
        <v>10</v>
      </c>
      <c r="AV26" s="6">
        <v>122</v>
      </c>
      <c r="AW26" s="6">
        <v>36</v>
      </c>
      <c r="AY26" s="5">
        <v>10</v>
      </c>
      <c r="AZ26" s="6">
        <v>122</v>
      </c>
      <c r="BA26" s="6">
        <v>27</v>
      </c>
      <c r="BC26" s="5">
        <v>10</v>
      </c>
      <c r="BD26" s="6">
        <v>122</v>
      </c>
      <c r="BE26" s="6">
        <v>35</v>
      </c>
      <c r="BG26" s="5">
        <v>10</v>
      </c>
      <c r="BH26" s="6">
        <v>122</v>
      </c>
      <c r="BI26" s="6">
        <v>35</v>
      </c>
      <c r="BK26" s="5">
        <v>10</v>
      </c>
      <c r="BL26" s="6">
        <v>122</v>
      </c>
      <c r="BM26" s="6">
        <v>32</v>
      </c>
      <c r="BO26" s="5">
        <v>10</v>
      </c>
      <c r="BP26" s="6">
        <v>122</v>
      </c>
      <c r="BQ26" s="6">
        <v>35</v>
      </c>
      <c r="BS26" s="5">
        <v>10</v>
      </c>
      <c r="BT26" s="6">
        <v>122</v>
      </c>
      <c r="BU26" s="6">
        <v>30</v>
      </c>
      <c r="BW26" s="5">
        <v>10</v>
      </c>
      <c r="BX26" s="6">
        <v>122</v>
      </c>
      <c r="BY26" s="6">
        <v>32.5</v>
      </c>
      <c r="CA26" s="5">
        <v>10</v>
      </c>
      <c r="CB26" s="6">
        <v>122</v>
      </c>
      <c r="CC26" s="6">
        <v>40</v>
      </c>
      <c r="CE26" s="5">
        <v>10</v>
      </c>
      <c r="CF26" s="6">
        <v>122</v>
      </c>
      <c r="CG26" s="6">
        <v>32</v>
      </c>
      <c r="CI26" s="5">
        <v>10</v>
      </c>
      <c r="CJ26" s="6">
        <v>122</v>
      </c>
      <c r="CK26" s="6">
        <v>22</v>
      </c>
      <c r="CM26" s="5">
        <v>10</v>
      </c>
      <c r="CN26" s="6">
        <v>122</v>
      </c>
      <c r="CO26" s="6">
        <v>20</v>
      </c>
      <c r="CQ26" s="5">
        <v>10</v>
      </c>
      <c r="CR26" s="6">
        <v>122</v>
      </c>
      <c r="CS26" s="6"/>
      <c r="CU26" s="4"/>
      <c r="CV26" s="4"/>
      <c r="CW26" s="4" t="s">
        <v>13</v>
      </c>
      <c r="CY26" s="4"/>
      <c r="CZ26" s="4"/>
      <c r="DA26" s="4" t="s">
        <v>13</v>
      </c>
      <c r="DC26" s="4"/>
      <c r="DD26" s="4"/>
      <c r="DE26" s="4" t="s">
        <v>13</v>
      </c>
    </row>
    <row r="27" spans="1:109" x14ac:dyDescent="0.3">
      <c r="A27" s="20">
        <v>6</v>
      </c>
      <c r="B27" s="6">
        <v>88.5</v>
      </c>
      <c r="C27" s="1">
        <v>10.5</v>
      </c>
      <c r="D27" s="5">
        <f t="shared" si="0"/>
        <v>8.85</v>
      </c>
      <c r="E27" s="21">
        <f>1.0066*C27</f>
        <v>10.5693</v>
      </c>
      <c r="G27" s="5">
        <v>6</v>
      </c>
      <c r="H27" s="6">
        <v>89</v>
      </c>
      <c r="I27" s="6">
        <v>12</v>
      </c>
      <c r="K27" s="5">
        <v>6</v>
      </c>
      <c r="L27" s="6">
        <v>89</v>
      </c>
      <c r="M27" s="6">
        <v>20</v>
      </c>
      <c r="O27" s="5">
        <v>8</v>
      </c>
      <c r="P27" s="6">
        <v>105</v>
      </c>
      <c r="Q27" s="6">
        <v>18</v>
      </c>
      <c r="S27" s="5">
        <v>8</v>
      </c>
      <c r="T27" s="6">
        <v>105</v>
      </c>
      <c r="U27" s="6">
        <v>27.5</v>
      </c>
      <c r="W27" s="5">
        <v>8</v>
      </c>
      <c r="X27" s="6">
        <v>105</v>
      </c>
      <c r="Y27" s="6">
        <v>30</v>
      </c>
      <c r="AA27" s="5">
        <v>8</v>
      </c>
      <c r="AB27" s="6">
        <v>105</v>
      </c>
      <c r="AC27" s="6">
        <v>29</v>
      </c>
      <c r="AE27" s="5">
        <v>8</v>
      </c>
      <c r="AF27" s="6">
        <v>105</v>
      </c>
      <c r="AG27" s="6">
        <v>31</v>
      </c>
      <c r="AI27" s="5">
        <v>8</v>
      </c>
      <c r="AJ27" s="6">
        <v>105</v>
      </c>
      <c r="AK27" s="6">
        <v>30</v>
      </c>
      <c r="AM27" s="5">
        <v>8</v>
      </c>
      <c r="AN27" s="6">
        <v>105</v>
      </c>
      <c r="AO27" s="6">
        <v>26</v>
      </c>
      <c r="AQ27" s="5">
        <v>8</v>
      </c>
      <c r="AR27" s="6">
        <v>105</v>
      </c>
      <c r="AS27" s="6">
        <v>27</v>
      </c>
      <c r="AU27" s="5">
        <v>8</v>
      </c>
      <c r="AV27" s="6">
        <v>105</v>
      </c>
      <c r="AW27" s="6">
        <v>29</v>
      </c>
      <c r="AY27" s="5">
        <v>8</v>
      </c>
      <c r="AZ27" s="6">
        <v>105</v>
      </c>
      <c r="BA27" s="6">
        <v>21</v>
      </c>
      <c r="BC27" s="5">
        <v>8</v>
      </c>
      <c r="BD27" s="6">
        <v>105</v>
      </c>
      <c r="BE27" s="6">
        <v>27</v>
      </c>
      <c r="BG27" s="5">
        <v>8</v>
      </c>
      <c r="BH27" s="6">
        <v>105</v>
      </c>
      <c r="BI27" s="6">
        <v>27</v>
      </c>
      <c r="BK27" s="5">
        <v>8</v>
      </c>
      <c r="BL27" s="6">
        <v>105</v>
      </c>
      <c r="BM27" s="6">
        <v>25</v>
      </c>
      <c r="BO27" s="5">
        <v>8</v>
      </c>
      <c r="BP27" s="6">
        <v>105</v>
      </c>
      <c r="BQ27" s="6">
        <v>28</v>
      </c>
      <c r="BS27" s="5">
        <v>8</v>
      </c>
      <c r="BT27" s="6">
        <v>105.5</v>
      </c>
      <c r="BU27" s="6">
        <v>23</v>
      </c>
      <c r="BW27" s="5">
        <v>8</v>
      </c>
      <c r="BX27" s="6">
        <v>105.5</v>
      </c>
      <c r="BY27" s="6">
        <v>28</v>
      </c>
      <c r="CA27" s="5">
        <v>8</v>
      </c>
      <c r="CB27" s="6">
        <v>105.5</v>
      </c>
      <c r="CC27" s="6">
        <v>30</v>
      </c>
      <c r="CE27" s="5">
        <v>8</v>
      </c>
      <c r="CF27" s="6">
        <v>105.5</v>
      </c>
      <c r="CG27" s="6">
        <v>23.5</v>
      </c>
      <c r="CI27" s="5">
        <v>8</v>
      </c>
      <c r="CJ27" s="6">
        <v>105.5</v>
      </c>
      <c r="CK27" s="6">
        <v>17</v>
      </c>
      <c r="CM27" s="5">
        <v>8</v>
      </c>
      <c r="CN27" s="6">
        <v>105.5</v>
      </c>
      <c r="CO27" s="6">
        <v>15</v>
      </c>
      <c r="CQ27" s="5">
        <v>8</v>
      </c>
      <c r="CR27" s="6">
        <v>105.5</v>
      </c>
      <c r="CS27" s="6"/>
      <c r="CU27" s="5">
        <v>10</v>
      </c>
      <c r="CV27" s="6">
        <v>122</v>
      </c>
      <c r="CW27" s="6"/>
      <c r="CY27" s="5">
        <v>10</v>
      </c>
      <c r="CZ27" s="6">
        <v>122</v>
      </c>
      <c r="DA27" s="6"/>
      <c r="DC27" s="5">
        <v>10</v>
      </c>
      <c r="DD27" s="6">
        <v>122</v>
      </c>
      <c r="DE27" s="6"/>
    </row>
    <row r="28" spans="1:109" x14ac:dyDescent="0.3">
      <c r="A28" s="20">
        <v>4</v>
      </c>
      <c r="B28" s="6">
        <v>72</v>
      </c>
      <c r="C28" s="1">
        <v>7</v>
      </c>
      <c r="D28" s="5">
        <f t="shared" si="0"/>
        <v>7.2</v>
      </c>
      <c r="E28" s="21">
        <f>1.0066*C28</f>
        <v>7.0461999999999998</v>
      </c>
      <c r="G28" s="5">
        <v>4</v>
      </c>
      <c r="H28" s="6">
        <v>72</v>
      </c>
      <c r="I28" s="6">
        <v>8</v>
      </c>
      <c r="K28" s="5">
        <v>4</v>
      </c>
      <c r="L28" s="6">
        <v>72</v>
      </c>
      <c r="M28" s="6">
        <v>13</v>
      </c>
      <c r="O28" s="5">
        <v>6</v>
      </c>
      <c r="P28" s="6">
        <v>89</v>
      </c>
      <c r="Q28" s="6">
        <v>13</v>
      </c>
      <c r="S28" s="5">
        <v>6</v>
      </c>
      <c r="T28" s="6">
        <v>88.5</v>
      </c>
      <c r="U28" s="6">
        <v>21</v>
      </c>
      <c r="W28" s="5">
        <v>6</v>
      </c>
      <c r="X28" s="6">
        <v>88.5</v>
      </c>
      <c r="Y28" s="6">
        <v>22</v>
      </c>
      <c r="AA28" s="5">
        <v>6</v>
      </c>
      <c r="AB28" s="6">
        <v>88.5</v>
      </c>
      <c r="AC28" s="6">
        <v>22</v>
      </c>
      <c r="AE28" s="5">
        <v>6</v>
      </c>
      <c r="AF28" s="6">
        <v>88.5</v>
      </c>
      <c r="AG28" s="6">
        <v>23</v>
      </c>
      <c r="AI28" s="5">
        <v>6</v>
      </c>
      <c r="AJ28" s="6">
        <v>88.5</v>
      </c>
      <c r="AK28" s="6">
        <v>23</v>
      </c>
      <c r="AM28" s="5">
        <v>6</v>
      </c>
      <c r="AN28" s="6">
        <v>88.5</v>
      </c>
      <c r="AO28" s="6">
        <v>20</v>
      </c>
      <c r="AQ28" s="5">
        <v>6</v>
      </c>
      <c r="AR28" s="6">
        <v>88.5</v>
      </c>
      <c r="AS28" s="6">
        <v>20</v>
      </c>
      <c r="AU28" s="5">
        <v>6</v>
      </c>
      <c r="AV28" s="6">
        <v>88.5</v>
      </c>
      <c r="AW28" s="6">
        <v>21</v>
      </c>
      <c r="AY28" s="5">
        <v>6</v>
      </c>
      <c r="AZ28" s="6">
        <v>88.5</v>
      </c>
      <c r="BA28" s="6">
        <v>15.5</v>
      </c>
      <c r="BC28" s="5">
        <v>6</v>
      </c>
      <c r="BD28" s="6">
        <v>88.5</v>
      </c>
      <c r="BE28" s="6">
        <v>20</v>
      </c>
      <c r="BG28" s="5">
        <v>6</v>
      </c>
      <c r="BH28" s="6">
        <v>88.5</v>
      </c>
      <c r="BI28" s="6">
        <v>20</v>
      </c>
      <c r="BK28" s="5">
        <v>6</v>
      </c>
      <c r="BL28" s="6">
        <v>88.5</v>
      </c>
      <c r="BM28" s="6">
        <v>18</v>
      </c>
      <c r="BO28" s="5">
        <v>6</v>
      </c>
      <c r="BP28" s="6">
        <v>88.5</v>
      </c>
      <c r="BQ28" s="6">
        <v>20</v>
      </c>
      <c r="BS28" s="5">
        <v>6</v>
      </c>
      <c r="BT28" s="6">
        <v>88.5</v>
      </c>
      <c r="BU28" s="6">
        <v>17</v>
      </c>
      <c r="BW28" s="5">
        <v>6</v>
      </c>
      <c r="BX28" s="6">
        <v>88.5</v>
      </c>
      <c r="BY28" s="6">
        <v>20.5</v>
      </c>
      <c r="CA28" s="5">
        <v>6</v>
      </c>
      <c r="CB28" s="6">
        <v>88.5</v>
      </c>
      <c r="CC28" s="6">
        <v>21.5</v>
      </c>
      <c r="CE28" s="5">
        <v>6</v>
      </c>
      <c r="CF28" s="6">
        <v>88.5</v>
      </c>
      <c r="CG28" s="6">
        <v>17</v>
      </c>
      <c r="CI28" s="5">
        <v>6</v>
      </c>
      <c r="CJ28" s="6">
        <v>88.5</v>
      </c>
      <c r="CK28" s="6">
        <v>12</v>
      </c>
      <c r="CM28" s="5">
        <v>6</v>
      </c>
      <c r="CN28" s="6">
        <v>88.5</v>
      </c>
      <c r="CO28" s="6">
        <v>10</v>
      </c>
      <c r="CQ28" s="5">
        <v>6</v>
      </c>
      <c r="CR28" s="6">
        <v>88.5</v>
      </c>
      <c r="CS28" s="6"/>
      <c r="CU28" s="5">
        <v>8</v>
      </c>
      <c r="CV28" s="6">
        <v>105.5</v>
      </c>
      <c r="CW28" s="6"/>
      <c r="CY28" s="5">
        <v>8</v>
      </c>
      <c r="CZ28" s="6">
        <v>105.5</v>
      </c>
      <c r="DA28" s="6"/>
      <c r="DC28" s="5">
        <v>8</v>
      </c>
      <c r="DD28" s="6">
        <v>105.5</v>
      </c>
      <c r="DE28" s="6"/>
    </row>
    <row r="29" spans="1:109" x14ac:dyDescent="0.3">
      <c r="A29" s="20">
        <v>2</v>
      </c>
      <c r="B29" s="6">
        <v>55</v>
      </c>
      <c r="C29" s="1">
        <v>4</v>
      </c>
      <c r="D29" s="5">
        <f t="shared" si="0"/>
        <v>5.5</v>
      </c>
      <c r="E29" s="21">
        <f>1.0066*C29</f>
        <v>4.0263999999999998</v>
      </c>
      <c r="G29" s="5">
        <v>2</v>
      </c>
      <c r="H29" s="6">
        <v>55</v>
      </c>
      <c r="I29" s="6">
        <v>5</v>
      </c>
      <c r="K29" s="5">
        <v>2</v>
      </c>
      <c r="L29" s="6">
        <v>55</v>
      </c>
      <c r="M29" s="6">
        <v>7.5</v>
      </c>
      <c r="O29" s="5">
        <v>4</v>
      </c>
      <c r="P29" s="6">
        <v>72</v>
      </c>
      <c r="Q29" s="6">
        <v>9</v>
      </c>
      <c r="S29" s="5">
        <v>4</v>
      </c>
      <c r="T29" s="6">
        <v>72</v>
      </c>
      <c r="U29" s="6">
        <v>14</v>
      </c>
      <c r="W29" s="5">
        <v>4</v>
      </c>
      <c r="X29" s="6">
        <v>72</v>
      </c>
      <c r="Y29" s="6">
        <v>15</v>
      </c>
      <c r="AA29" s="5">
        <v>4</v>
      </c>
      <c r="AB29" s="6">
        <v>72</v>
      </c>
      <c r="AC29" s="6">
        <v>15</v>
      </c>
      <c r="AE29" s="5">
        <v>4</v>
      </c>
      <c r="AF29" s="6">
        <v>72</v>
      </c>
      <c r="AG29" s="6">
        <v>16</v>
      </c>
      <c r="AI29" s="5">
        <v>4</v>
      </c>
      <c r="AJ29" s="6">
        <v>72</v>
      </c>
      <c r="AK29" s="6">
        <v>15</v>
      </c>
      <c r="AM29" s="5">
        <v>4</v>
      </c>
      <c r="AN29" s="6">
        <v>72</v>
      </c>
      <c r="AO29" s="6">
        <v>13</v>
      </c>
      <c r="AQ29" s="5">
        <v>4</v>
      </c>
      <c r="AR29" s="6">
        <v>72</v>
      </c>
      <c r="AS29" s="6">
        <v>13.5</v>
      </c>
      <c r="AU29" s="5">
        <v>4</v>
      </c>
      <c r="AV29" s="6">
        <v>72</v>
      </c>
      <c r="AW29" s="6">
        <v>14</v>
      </c>
      <c r="AY29" s="5">
        <v>4</v>
      </c>
      <c r="AZ29" s="6">
        <v>72</v>
      </c>
      <c r="BA29" s="6">
        <v>10.5</v>
      </c>
      <c r="BC29" s="5">
        <v>4</v>
      </c>
      <c r="BD29" s="6">
        <v>72</v>
      </c>
      <c r="BE29" s="6">
        <v>13</v>
      </c>
      <c r="BG29" s="5">
        <v>4</v>
      </c>
      <c r="BH29" s="6">
        <v>72</v>
      </c>
      <c r="BI29" s="6">
        <v>13</v>
      </c>
      <c r="BK29" s="5">
        <v>4</v>
      </c>
      <c r="BL29" s="6">
        <v>72</v>
      </c>
      <c r="BM29" s="6">
        <v>12</v>
      </c>
      <c r="BO29" s="5">
        <v>4</v>
      </c>
      <c r="BP29" s="6">
        <v>72</v>
      </c>
      <c r="BQ29" s="6">
        <v>13</v>
      </c>
      <c r="BS29" s="5">
        <v>4</v>
      </c>
      <c r="BT29" s="6">
        <v>72</v>
      </c>
      <c r="BU29" s="6">
        <v>11.5</v>
      </c>
      <c r="BW29" s="5">
        <v>4</v>
      </c>
      <c r="BX29" s="6">
        <v>72</v>
      </c>
      <c r="BY29" s="6">
        <v>13.5</v>
      </c>
      <c r="CA29" s="5">
        <v>4</v>
      </c>
      <c r="CB29" s="6">
        <v>72</v>
      </c>
      <c r="CC29" s="6">
        <v>14</v>
      </c>
      <c r="CE29" s="5">
        <v>4</v>
      </c>
      <c r="CF29" s="6">
        <v>72</v>
      </c>
      <c r="CG29" s="6">
        <v>11</v>
      </c>
      <c r="CI29" s="5">
        <v>4</v>
      </c>
      <c r="CJ29" s="6">
        <v>72</v>
      </c>
      <c r="CK29" s="6">
        <v>8</v>
      </c>
      <c r="CM29" s="5">
        <v>4</v>
      </c>
      <c r="CN29" s="6">
        <v>72</v>
      </c>
      <c r="CO29" s="6">
        <v>7</v>
      </c>
      <c r="CQ29" s="5">
        <v>4</v>
      </c>
      <c r="CR29" s="6">
        <v>72</v>
      </c>
      <c r="CS29" s="6"/>
      <c r="CU29" s="5">
        <v>6</v>
      </c>
      <c r="CV29" s="6">
        <v>88.5</v>
      </c>
      <c r="CW29" s="6"/>
      <c r="CY29" s="5">
        <v>6</v>
      </c>
      <c r="CZ29" s="6">
        <v>88.5</v>
      </c>
      <c r="DA29" s="6"/>
      <c r="DC29" s="5">
        <v>6</v>
      </c>
      <c r="DD29" s="6">
        <v>88.5</v>
      </c>
      <c r="DE29" s="6"/>
    </row>
    <row r="30" spans="1:109" x14ac:dyDescent="0.3">
      <c r="A30" s="20">
        <v>1</v>
      </c>
      <c r="B30" s="6">
        <v>46.5</v>
      </c>
      <c r="C30" s="1"/>
      <c r="D30" s="5">
        <f t="shared" si="0"/>
        <v>4.6500000000000004</v>
      </c>
      <c r="E30" s="21"/>
      <c r="G30" s="5">
        <v>0</v>
      </c>
      <c r="H30" s="6">
        <v>38</v>
      </c>
      <c r="I30" s="6">
        <v>0</v>
      </c>
      <c r="K30" s="5">
        <v>0</v>
      </c>
      <c r="L30" s="6">
        <v>38</v>
      </c>
      <c r="M30" s="6">
        <v>0</v>
      </c>
      <c r="O30" s="5">
        <v>2</v>
      </c>
      <c r="P30" s="6">
        <v>55</v>
      </c>
      <c r="Q30" s="6">
        <v>5</v>
      </c>
      <c r="S30" s="5">
        <v>2</v>
      </c>
      <c r="T30" s="6">
        <v>55</v>
      </c>
      <c r="U30" s="6">
        <v>7.75</v>
      </c>
      <c r="W30" s="5">
        <v>2</v>
      </c>
      <c r="X30" s="6">
        <v>55</v>
      </c>
      <c r="Y30" s="6">
        <v>8.5</v>
      </c>
      <c r="AA30" s="5">
        <v>2</v>
      </c>
      <c r="AB30" s="6">
        <v>55</v>
      </c>
      <c r="AC30" s="6">
        <v>8</v>
      </c>
      <c r="AE30" s="5">
        <v>2</v>
      </c>
      <c r="AF30" s="6">
        <v>55</v>
      </c>
      <c r="AG30" s="6">
        <v>9</v>
      </c>
      <c r="AI30" s="5">
        <v>2</v>
      </c>
      <c r="AJ30" s="6">
        <v>55</v>
      </c>
      <c r="AK30" s="6">
        <v>8</v>
      </c>
      <c r="AM30" s="5">
        <v>2</v>
      </c>
      <c r="AN30" s="6">
        <v>55</v>
      </c>
      <c r="AO30" s="6">
        <v>7</v>
      </c>
      <c r="AQ30" s="5">
        <v>2</v>
      </c>
      <c r="AR30" s="6">
        <v>55</v>
      </c>
      <c r="AS30" s="6">
        <v>7.5</v>
      </c>
      <c r="AU30" s="5">
        <v>2</v>
      </c>
      <c r="AV30" s="6">
        <v>55</v>
      </c>
      <c r="AW30" s="6">
        <v>8</v>
      </c>
      <c r="AY30" s="5">
        <v>2</v>
      </c>
      <c r="AZ30" s="6">
        <v>55</v>
      </c>
      <c r="BA30" s="6">
        <v>6</v>
      </c>
      <c r="BC30" s="5">
        <v>2</v>
      </c>
      <c r="BD30" s="6">
        <v>55</v>
      </c>
      <c r="BE30" s="6">
        <v>7</v>
      </c>
      <c r="BG30" s="5">
        <v>2</v>
      </c>
      <c r="BH30" s="6">
        <v>55</v>
      </c>
      <c r="BI30" s="6">
        <v>7</v>
      </c>
      <c r="BK30" s="5">
        <v>2</v>
      </c>
      <c r="BL30" s="6">
        <v>55</v>
      </c>
      <c r="BM30" s="6">
        <v>7</v>
      </c>
      <c r="BO30" s="5">
        <v>2</v>
      </c>
      <c r="BP30" s="6">
        <v>55</v>
      </c>
      <c r="BQ30" s="6">
        <v>7</v>
      </c>
      <c r="BS30" s="5">
        <v>2</v>
      </c>
      <c r="BT30" s="6">
        <v>55</v>
      </c>
      <c r="BU30" s="6">
        <v>6</v>
      </c>
      <c r="BW30" s="5">
        <v>2</v>
      </c>
      <c r="BX30" s="6">
        <v>55</v>
      </c>
      <c r="BY30" s="6">
        <v>7.5</v>
      </c>
      <c r="CA30" s="5">
        <v>2</v>
      </c>
      <c r="CB30" s="6">
        <v>55</v>
      </c>
      <c r="CC30" s="6">
        <v>8</v>
      </c>
      <c r="CE30" s="5">
        <v>2</v>
      </c>
      <c r="CF30" s="6">
        <v>55</v>
      </c>
      <c r="CG30" s="6">
        <v>6</v>
      </c>
      <c r="CI30" s="5">
        <v>2</v>
      </c>
      <c r="CJ30" s="6">
        <v>55</v>
      </c>
      <c r="CK30" s="6">
        <v>4</v>
      </c>
      <c r="CM30" s="5">
        <v>2</v>
      </c>
      <c r="CN30" s="6">
        <v>55</v>
      </c>
      <c r="CO30" s="6">
        <v>3</v>
      </c>
      <c r="CQ30" s="5">
        <v>2</v>
      </c>
      <c r="CR30" s="6">
        <v>55</v>
      </c>
      <c r="CS30" s="6"/>
      <c r="CU30" s="5">
        <v>4</v>
      </c>
      <c r="CV30" s="6">
        <v>72</v>
      </c>
      <c r="CW30" s="6"/>
      <c r="CY30" s="5">
        <v>4</v>
      </c>
      <c r="CZ30" s="6">
        <v>72</v>
      </c>
      <c r="DA30" s="6"/>
      <c r="DC30" s="5">
        <v>4</v>
      </c>
      <c r="DD30" s="6">
        <v>72</v>
      </c>
      <c r="DE30" s="6"/>
    </row>
    <row r="31" spans="1:109" ht="15" thickBot="1" x14ac:dyDescent="0.35">
      <c r="A31" s="22">
        <v>0</v>
      </c>
      <c r="B31" s="23">
        <v>38</v>
      </c>
      <c r="C31" s="23">
        <v>0</v>
      </c>
      <c r="D31" s="24">
        <f t="shared" si="0"/>
        <v>3.8</v>
      </c>
      <c r="E31" s="25">
        <f>1.0066*C31</f>
        <v>0</v>
      </c>
      <c r="O31" s="5">
        <v>1</v>
      </c>
      <c r="P31" s="6">
        <v>47</v>
      </c>
      <c r="Q31" s="6">
        <v>2.5</v>
      </c>
      <c r="S31" s="5">
        <v>1</v>
      </c>
      <c r="T31" s="6">
        <v>46.5</v>
      </c>
      <c r="U31" s="6">
        <v>4.75</v>
      </c>
      <c r="W31" s="5">
        <v>1</v>
      </c>
      <c r="X31" s="6">
        <v>46.5</v>
      </c>
      <c r="Y31" s="6">
        <v>5</v>
      </c>
      <c r="AA31" s="5">
        <v>1</v>
      </c>
      <c r="AB31" s="6">
        <v>46.5</v>
      </c>
      <c r="AC31" s="6">
        <v>5</v>
      </c>
      <c r="AE31" s="5">
        <v>1</v>
      </c>
      <c r="AF31" s="6">
        <v>46.5</v>
      </c>
      <c r="AG31" s="6">
        <v>5.75</v>
      </c>
      <c r="AI31" s="5">
        <v>1</v>
      </c>
      <c r="AJ31" s="6">
        <v>46.5</v>
      </c>
      <c r="AK31" s="6"/>
      <c r="AM31" s="5">
        <v>1</v>
      </c>
      <c r="AN31" s="6">
        <v>46.5</v>
      </c>
      <c r="AO31" s="6"/>
      <c r="AQ31" s="5">
        <v>1</v>
      </c>
      <c r="AR31" s="6">
        <v>46.5</v>
      </c>
      <c r="AS31" s="6">
        <v>4.75</v>
      </c>
      <c r="AU31" s="5">
        <v>1</v>
      </c>
      <c r="AV31" s="6">
        <v>46.5</v>
      </c>
      <c r="AW31" s="6">
        <v>5</v>
      </c>
      <c r="AY31" s="5">
        <v>1</v>
      </c>
      <c r="AZ31" s="6">
        <v>46.5</v>
      </c>
      <c r="BA31" s="6">
        <v>3</v>
      </c>
      <c r="BC31" s="5">
        <v>1</v>
      </c>
      <c r="BD31" s="6">
        <v>46.5</v>
      </c>
      <c r="BE31" s="6">
        <v>4</v>
      </c>
      <c r="BG31" s="5">
        <v>1</v>
      </c>
      <c r="BH31" s="6">
        <v>46.5</v>
      </c>
      <c r="BI31" s="6">
        <v>4</v>
      </c>
      <c r="BK31" s="5">
        <v>1</v>
      </c>
      <c r="BL31" s="6">
        <v>46.5</v>
      </c>
      <c r="BM31" s="6">
        <v>4</v>
      </c>
      <c r="BO31" s="5">
        <v>1</v>
      </c>
      <c r="BP31" s="6">
        <v>46.5</v>
      </c>
      <c r="BQ31" s="6">
        <v>5</v>
      </c>
      <c r="BS31" s="5">
        <v>1</v>
      </c>
      <c r="BT31" s="6">
        <v>47</v>
      </c>
      <c r="BU31" s="6">
        <v>4</v>
      </c>
      <c r="BW31" s="5">
        <v>1</v>
      </c>
      <c r="BX31" s="6">
        <v>47</v>
      </c>
      <c r="BY31" s="6">
        <v>5</v>
      </c>
      <c r="CA31" s="5">
        <v>1</v>
      </c>
      <c r="CB31" s="6">
        <v>47</v>
      </c>
      <c r="CC31" s="6">
        <v>5</v>
      </c>
      <c r="CE31" s="5">
        <v>1</v>
      </c>
      <c r="CF31" s="6">
        <v>47</v>
      </c>
      <c r="CG31" s="6">
        <v>3.5</v>
      </c>
      <c r="CI31" s="5">
        <v>1</v>
      </c>
      <c r="CJ31" s="6">
        <v>47</v>
      </c>
      <c r="CK31" s="6">
        <v>2</v>
      </c>
      <c r="CM31" s="5">
        <v>1</v>
      </c>
      <c r="CN31" s="6">
        <v>47</v>
      </c>
      <c r="CO31" s="6">
        <v>0</v>
      </c>
      <c r="CQ31" s="5">
        <v>1</v>
      </c>
      <c r="CR31" s="6">
        <v>46.5</v>
      </c>
      <c r="CS31" s="6"/>
      <c r="CU31" s="5">
        <v>2</v>
      </c>
      <c r="CV31" s="6">
        <v>55</v>
      </c>
      <c r="CW31" s="6"/>
      <c r="CY31" s="5">
        <v>2</v>
      </c>
      <c r="CZ31" s="6">
        <v>55</v>
      </c>
      <c r="DA31" s="6"/>
      <c r="DC31" s="5">
        <v>2</v>
      </c>
      <c r="DD31" s="6">
        <v>55</v>
      </c>
      <c r="DE31" s="6"/>
    </row>
    <row r="32" spans="1:109" x14ac:dyDescent="0.3">
      <c r="O32" s="5">
        <v>0</v>
      </c>
      <c r="P32" s="6">
        <v>38</v>
      </c>
      <c r="Q32" s="6">
        <v>0</v>
      </c>
      <c r="S32" s="5">
        <v>0</v>
      </c>
      <c r="T32" s="6">
        <v>38</v>
      </c>
      <c r="U32" s="6">
        <v>0</v>
      </c>
      <c r="W32" s="5">
        <v>0</v>
      </c>
      <c r="X32" s="6">
        <v>38</v>
      </c>
      <c r="Y32" s="6">
        <v>0</v>
      </c>
      <c r="AA32" s="5">
        <v>0.5</v>
      </c>
      <c r="AB32" s="6">
        <v>42</v>
      </c>
      <c r="AC32" s="6">
        <v>3</v>
      </c>
      <c r="AE32" s="5">
        <v>0.5</v>
      </c>
      <c r="AF32" s="6">
        <v>42</v>
      </c>
      <c r="AG32" s="6">
        <v>3.75</v>
      </c>
      <c r="AI32" s="5">
        <v>0.5</v>
      </c>
      <c r="AJ32" s="6">
        <v>42</v>
      </c>
      <c r="AK32" s="6"/>
      <c r="AM32" s="5">
        <v>0.5</v>
      </c>
      <c r="AN32" s="6">
        <v>42</v>
      </c>
      <c r="AO32" s="6"/>
      <c r="AQ32" s="5">
        <v>0.5</v>
      </c>
      <c r="AR32" s="6">
        <v>42</v>
      </c>
      <c r="AS32" s="6">
        <v>2</v>
      </c>
      <c r="AU32" s="5">
        <v>0.5</v>
      </c>
      <c r="AV32" s="6">
        <v>42</v>
      </c>
      <c r="AW32" s="6">
        <v>2</v>
      </c>
      <c r="AY32" s="5">
        <v>0.5</v>
      </c>
      <c r="AZ32" s="6">
        <v>42</v>
      </c>
      <c r="BA32" s="6">
        <v>0</v>
      </c>
      <c r="BC32" s="5">
        <v>0.5</v>
      </c>
      <c r="BD32" s="6">
        <v>42</v>
      </c>
      <c r="BE32" s="6">
        <v>1</v>
      </c>
      <c r="BG32" s="5">
        <v>0.5</v>
      </c>
      <c r="BH32" s="6">
        <v>42</v>
      </c>
      <c r="BI32" s="6">
        <v>1</v>
      </c>
      <c r="BK32" s="5">
        <v>0.5</v>
      </c>
      <c r="BL32" s="6">
        <v>42</v>
      </c>
      <c r="BM32" s="6">
        <v>0.5</v>
      </c>
      <c r="BO32" s="5">
        <v>0.5</v>
      </c>
      <c r="BP32" s="6">
        <v>42</v>
      </c>
      <c r="BQ32" s="6">
        <v>0</v>
      </c>
      <c r="BS32" s="5">
        <v>0.5</v>
      </c>
      <c r="BT32" s="6"/>
      <c r="BU32" s="6"/>
      <c r="BW32" s="5">
        <v>0.5</v>
      </c>
      <c r="BX32" s="6"/>
      <c r="BY32" s="6"/>
      <c r="CA32" s="5">
        <v>0.5</v>
      </c>
      <c r="CB32" s="6"/>
      <c r="CC32" s="6">
        <v>3</v>
      </c>
      <c r="CE32" s="5">
        <v>0.5</v>
      </c>
      <c r="CF32" s="6">
        <v>42</v>
      </c>
      <c r="CG32" s="6">
        <v>0</v>
      </c>
      <c r="CI32" s="5">
        <v>0.5</v>
      </c>
      <c r="CJ32" s="6">
        <v>42</v>
      </c>
      <c r="CK32" s="6">
        <v>0</v>
      </c>
      <c r="CM32" s="5">
        <v>0.5</v>
      </c>
      <c r="CN32" s="6">
        <v>42</v>
      </c>
      <c r="CO32" s="6"/>
      <c r="CQ32" s="5">
        <v>0.5</v>
      </c>
      <c r="CR32" s="6">
        <v>42</v>
      </c>
      <c r="CS32" s="6"/>
      <c r="CU32" s="5">
        <v>1</v>
      </c>
      <c r="CV32" s="6">
        <v>46.5</v>
      </c>
      <c r="CW32" s="6"/>
      <c r="CY32" s="5">
        <v>1</v>
      </c>
      <c r="CZ32" s="6">
        <v>46.5</v>
      </c>
      <c r="DA32" s="6"/>
      <c r="DC32" s="5">
        <v>1</v>
      </c>
      <c r="DD32" s="6">
        <v>46.5</v>
      </c>
      <c r="DE32" s="6"/>
    </row>
    <row r="33" spans="1:109" x14ac:dyDescent="0.3">
      <c r="A33" t="s">
        <v>15</v>
      </c>
      <c r="B33" s="10"/>
      <c r="C33" s="10"/>
      <c r="D33" s="10"/>
      <c r="E33" s="11"/>
      <c r="AA33" s="5">
        <v>0</v>
      </c>
      <c r="AB33" s="6">
        <v>38</v>
      </c>
      <c r="AC33" s="6">
        <v>0</v>
      </c>
      <c r="AE33" s="5">
        <v>0</v>
      </c>
      <c r="AF33" s="6">
        <v>38</v>
      </c>
      <c r="AG33" s="6">
        <v>0</v>
      </c>
      <c r="AI33" s="5">
        <v>0</v>
      </c>
      <c r="AJ33" s="6">
        <v>38</v>
      </c>
      <c r="AK33" s="6">
        <v>0</v>
      </c>
      <c r="AM33" s="5">
        <v>0</v>
      </c>
      <c r="AN33" s="6">
        <v>38</v>
      </c>
      <c r="AO33" s="6">
        <v>0</v>
      </c>
      <c r="AQ33" s="5">
        <v>0</v>
      </c>
      <c r="AR33" s="6">
        <v>38</v>
      </c>
      <c r="AS33" s="6">
        <v>0</v>
      </c>
      <c r="AU33" s="5">
        <v>0</v>
      </c>
      <c r="AV33" s="6">
        <v>38</v>
      </c>
      <c r="AW33" s="6">
        <v>0</v>
      </c>
      <c r="AY33" s="5">
        <v>0</v>
      </c>
      <c r="AZ33" s="6">
        <v>38</v>
      </c>
      <c r="BA33" s="6">
        <v>0</v>
      </c>
      <c r="BC33" s="5">
        <v>0</v>
      </c>
      <c r="BD33" s="6">
        <v>38</v>
      </c>
      <c r="BE33" s="6">
        <v>0</v>
      </c>
      <c r="BG33" s="5">
        <v>0</v>
      </c>
      <c r="BH33" s="6">
        <v>38</v>
      </c>
      <c r="BI33" s="6">
        <v>0</v>
      </c>
      <c r="BK33" s="5">
        <v>0</v>
      </c>
      <c r="BL33" s="6">
        <v>38</v>
      </c>
      <c r="BM33" s="6">
        <v>0</v>
      </c>
      <c r="BO33" s="5">
        <v>0</v>
      </c>
      <c r="BP33" s="6">
        <v>38</v>
      </c>
      <c r="BQ33" s="6">
        <v>0</v>
      </c>
      <c r="BS33" s="5">
        <v>0</v>
      </c>
      <c r="BT33" s="6">
        <v>38</v>
      </c>
      <c r="BU33" s="6">
        <v>0</v>
      </c>
      <c r="BW33" s="5">
        <v>0</v>
      </c>
      <c r="BX33" s="6">
        <v>38</v>
      </c>
      <c r="BY33" s="6">
        <v>0</v>
      </c>
      <c r="CA33" s="5">
        <v>0</v>
      </c>
      <c r="CB33" s="6">
        <v>38</v>
      </c>
      <c r="CC33" s="6">
        <v>0</v>
      </c>
      <c r="CE33" s="5">
        <v>0</v>
      </c>
      <c r="CF33" s="6">
        <v>38</v>
      </c>
      <c r="CG33" s="6">
        <v>0</v>
      </c>
      <c r="CI33" s="5">
        <v>0</v>
      </c>
      <c r="CJ33" s="6">
        <v>38</v>
      </c>
      <c r="CK33" s="6">
        <v>0</v>
      </c>
      <c r="CM33" s="5">
        <v>0</v>
      </c>
      <c r="CN33" s="6">
        <v>38</v>
      </c>
      <c r="CO33" s="6"/>
      <c r="CQ33" s="5"/>
      <c r="CR33" s="6">
        <v>38</v>
      </c>
      <c r="CS33" s="6"/>
      <c r="CU33" s="5">
        <v>0.5</v>
      </c>
      <c r="CV33" s="6">
        <v>42</v>
      </c>
      <c r="CW33" s="6"/>
      <c r="CY33" s="5">
        <v>0.5</v>
      </c>
      <c r="CZ33" s="6">
        <v>42</v>
      </c>
      <c r="DA33" s="6"/>
      <c r="DC33" s="5">
        <v>0.5</v>
      </c>
      <c r="DD33" s="6">
        <v>42</v>
      </c>
      <c r="DE33" s="6"/>
    </row>
    <row r="34" spans="1:109" x14ac:dyDescent="0.3">
      <c r="A34" t="s">
        <v>16</v>
      </c>
      <c r="B34" s="7"/>
      <c r="C34" s="7"/>
      <c r="D34" s="7"/>
      <c r="E34" s="7"/>
      <c r="CU34" s="5">
        <v>0</v>
      </c>
      <c r="CV34" s="6">
        <v>38</v>
      </c>
      <c r="CW34" s="6"/>
      <c r="CY34" s="5">
        <v>0</v>
      </c>
      <c r="CZ34" s="6">
        <v>38</v>
      </c>
      <c r="DA34" s="6"/>
      <c r="DC34" s="5">
        <v>0</v>
      </c>
      <c r="DD34" s="6">
        <v>38</v>
      </c>
      <c r="DE34" s="6"/>
    </row>
    <row r="35" spans="1:109" x14ac:dyDescent="0.3">
      <c r="A35" s="7"/>
      <c r="B35" s="7"/>
      <c r="C35" s="7"/>
      <c r="D35" s="7"/>
      <c r="E35" s="7"/>
    </row>
  </sheetData>
  <mergeCells count="1">
    <mergeCell ref="D1:P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Fan Calibration data</vt:lpstr>
    </vt:vector>
  </TitlesOfParts>
  <Company>HPES ACES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Olson, Sandra L. (GRC-LTX0)</dc:creator>
  <cp:lastModifiedBy>Olson, Sandra L. (GRC-LTX0)</cp:lastModifiedBy>
  <dcterms:created xsi:type="dcterms:W3CDTF">2017-07-10T18:10:57Z</dcterms:created>
  <dcterms:modified xsi:type="dcterms:W3CDTF">2017-07-10T18:51:10Z</dcterms:modified>
</cp:coreProperties>
</file>